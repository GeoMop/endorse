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2"/>
    <sheet name="data (2)" sheetId="2" state="visible" r:id="rId3"/>
    <sheet name="vysledky_VTZ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" authorId="0">
      <text>
        <r>
          <rPr>
            <sz val="11"/>
            <color rgb="FF000000"/>
            <rFont val="Aptos Narrow"/>
            <family val="2"/>
            <charset val="238"/>
          </rPr>
          <t xml:space="preserve">Sosna Karel:
</t>
        </r>
        <r>
          <rPr>
            <sz val="9"/>
            <color rgb="FF000000"/>
            <rFont val="Tahoma"/>
            <family val="2"/>
            <charset val="238"/>
          </rPr>
          <t xml:space="preserve">po ražbě</t>
        </r>
      </text>
    </comment>
    <comment ref="D1" authorId="0">
      <text>
        <r>
          <rPr>
            <sz val="11"/>
            <color rgb="FF000000"/>
            <rFont val="Aptos Narrow"/>
            <family val="2"/>
            <charset val="238"/>
          </rPr>
          <t xml:space="preserve">Sosna Karel:
</t>
        </r>
        <r>
          <rPr>
            <sz val="9"/>
            <color rgb="FF000000"/>
            <rFont val="Tahoma"/>
            <family val="2"/>
            <charset val="238"/>
          </rPr>
          <t xml:space="preserve">po ražbě</t>
        </r>
      </text>
    </comment>
    <comment ref="H1" authorId="0">
      <text>
        <r>
          <rPr>
            <sz val="11"/>
            <color rgb="FF000000"/>
            <rFont val="Aptos Narrow"/>
            <family val="2"/>
            <charset val="238"/>
          </rPr>
          <t xml:space="preserve">Sosna Karel:
</t>
        </r>
        <r>
          <rPr>
            <sz val="9"/>
            <color rgb="FF000000"/>
            <rFont val="Tahoma"/>
            <family val="2"/>
            <charset val="238"/>
          </rPr>
          <t xml:space="preserve">před ražbou</t>
        </r>
      </text>
    </comment>
  </commentList>
</comments>
</file>

<file path=xl/sharedStrings.xml><?xml version="1.0" encoding="utf-8"?>
<sst xmlns="http://schemas.openxmlformats.org/spreadsheetml/2006/main" count="270" uniqueCount="80">
  <si>
    <t xml:space="preserve">vrt</t>
  </si>
  <si>
    <t xml:space="preserve">etáž (m)</t>
  </si>
  <si>
    <t xml:space="preserve">délka zk. úseku (m)</t>
  </si>
  <si>
    <t xml:space="preserve">zkušební tlak (m)</t>
  </si>
  <si>
    <t xml:space="preserve">čas (s)</t>
  </si>
  <si>
    <t xml:space="preserve">odečet spotřeby  (m)</t>
  </si>
  <si>
    <t xml:space="preserve">spotřeba (m3/s)</t>
  </si>
  <si>
    <t xml:space="preserve">hydraulická vodivost (m/s)</t>
  </si>
  <si>
    <t xml:space="preserve">spotřeba (ml/min)</t>
  </si>
  <si>
    <t xml:space="preserve">L5-50UL</t>
  </si>
  <si>
    <t xml:space="preserve">3,0-13,2</t>
  </si>
  <si>
    <t xml:space="preserve">L5-49DL</t>
  </si>
  <si>
    <t xml:space="preserve">2,5-9,14</t>
  </si>
  <si>
    <t xml:space="preserve">7,5-9,14</t>
  </si>
  <si>
    <t xml:space="preserve">L5-37UR</t>
  </si>
  <si>
    <t xml:space="preserve">2,0-10,0</t>
  </si>
  <si>
    <t xml:space="preserve">5,0-9,14</t>
  </si>
  <si>
    <t xml:space="preserve">L5-37R</t>
  </si>
  <si>
    <t xml:space="preserve">5,0-14,5</t>
  </si>
  <si>
    <t xml:space="preserve">L5-22DR</t>
  </si>
  <si>
    <t xml:space="preserve">7,0-16,0</t>
  </si>
  <si>
    <t xml:space="preserve">L5-24DR</t>
  </si>
  <si>
    <t xml:space="preserve">2,0-11,0</t>
  </si>
  <si>
    <t xml:space="preserve">nepropustné</t>
  </si>
  <si>
    <t xml:space="preserve">L5-23UR</t>
  </si>
  <si>
    <t xml:space="preserve">3,0-12,0</t>
  </si>
  <si>
    <t xml:space="preserve">L5-26R</t>
  </si>
  <si>
    <t xml:space="preserve">0,95-10,0</t>
  </si>
  <si>
    <t xml:space="preserve">6,0-9,14</t>
  </si>
  <si>
    <t xml:space="preserve">sekce</t>
  </si>
  <si>
    <t xml:space="preserve">etáž</t>
  </si>
  <si>
    <t xml:space="preserve">délka zk. úseku</t>
  </si>
  <si>
    <t xml:space="preserve">zkušební tlak</t>
  </si>
  <si>
    <t xml:space="preserve">čas</t>
  </si>
  <si>
    <t xml:space="preserve">odečet spotřeby</t>
  </si>
  <si>
    <t xml:space="preserve">spotřeba</t>
  </si>
  <si>
    <t xml:space="preserve">tlak</t>
  </si>
  <si>
    <t xml:space="preserve">datum a čas</t>
  </si>
  <si>
    <t xml:space="preserve">tlak v intervalu</t>
  </si>
  <si>
    <t xml:space="preserve">hydraulická vodivost</t>
  </si>
  <si>
    <t xml:space="preserve">spotřeba sigma</t>
  </si>
  <si>
    <t xml:space="preserve">relativní odchylka</t>
  </si>
  <si>
    <t xml:space="preserve">m</t>
  </si>
  <si>
    <t xml:space="preserve">min</t>
  </si>
  <si>
    <t xml:space="preserve">mm3</t>
  </si>
  <si>
    <t xml:space="preserve">mm3/min</t>
  </si>
  <si>
    <t xml:space="preserve">bar</t>
  </si>
  <si>
    <t xml:space="preserve">kPa</t>
  </si>
  <si>
    <t xml:space="preserve">m3/s</t>
  </si>
  <si>
    <t xml:space="preserve">m/s</t>
  </si>
  <si>
    <t xml:space="preserve">target pressure or noted from other columns, not reliable</t>
  </si>
  <si>
    <t xml:space="preserve">taken from piezo file</t>
  </si>
  <si>
    <t xml:space="preserve">computed</t>
  </si>
  <si>
    <t xml:space="preserve">computed, simple model</t>
  </si>
  <si>
    <t xml:space="preserve">9,5-13,1</t>
  </si>
  <si>
    <t xml:space="preserve">medián relativní odchylky</t>
  </si>
  <si>
    <t xml:space="preserve">6,5-9,0</t>
  </si>
  <si>
    <t xml:space="preserve">3,0-5,5</t>
  </si>
  <si>
    <t xml:space="preserve">7,5-8,6</t>
  </si>
  <si>
    <t xml:space="preserve">5,0-6,5</t>
  </si>
  <si>
    <t xml:space="preserve">2,5-4,0</t>
  </si>
  <si>
    <t xml:space="preserve">nárůst spotřeby</t>
  </si>
  <si>
    <t xml:space="preserve">proplachuje se?</t>
  </si>
  <si>
    <t xml:space="preserve">8,0-9,8</t>
  </si>
  <si>
    <t xml:space="preserve">5,5-7,5</t>
  </si>
  <si>
    <t xml:space="preserve">2,0-4,5</t>
  </si>
  <si>
    <t xml:space="preserve">12,5-14,3</t>
  </si>
  <si>
    <t xml:space="preserve">9,0-11,5</t>
  </si>
  <si>
    <t xml:space="preserve">5,0-8,0</t>
  </si>
  <si>
    <t xml:space="preserve">9,5-12,0</t>
  </si>
  <si>
    <t xml:space="preserve">6,5-8,5</t>
  </si>
  <si>
    <t xml:space="preserve">8,5-10,8</t>
  </si>
  <si>
    <t xml:space="preserve">9,5-12,3</t>
  </si>
  <si>
    <t xml:space="preserve">o-kroužek neudrží čidlo</t>
  </si>
  <si>
    <t xml:space="preserve">14,0-15,7</t>
  </si>
  <si>
    <t xml:space="preserve">chyba, netestováno</t>
  </si>
  <si>
    <t xml:space="preserve">10,5-13,0</t>
  </si>
  <si>
    <t xml:space="preserve">namísto toho byl 2× L5-26R</t>
  </si>
  <si>
    <t xml:space="preserve">8,0-9,5</t>
  </si>
  <si>
    <t xml:space="preserve">opakování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</si>
</sst>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0.00E+00"/>
    <numFmt numFmtId="168" formatCode="#,##0.0"/>
    <numFmt numFmtId="169" formatCode="#,##0"/>
    <numFmt numFmtId="170" formatCode="m/d/yyyy\ h:mm"/>
    <numFmt numFmtId="171" formatCode="0.00%"/>
  </numFmts>
  <fonts count="10">
    <font>
      <sz val="11"/>
      <color rgb="FF000000"/>
      <name val="Aptos Narrow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rgb="FF000000"/>
      <name val="Calibri"/>
      <family val="2"/>
      <charset val="238"/>
    </font>
    <font>
      <b val="true"/>
      <sz val="10"/>
      <name val="Arial"/>
      <family val="2"/>
      <charset val="238"/>
    </font>
    <font>
      <sz val="11"/>
      <color rgb="FFFF0000"/>
      <name val="Calibri"/>
      <family val="2"/>
      <charset val="238"/>
    </font>
    <font>
      <sz val="10"/>
      <name val="Arial"/>
      <family val="2"/>
      <charset val="238"/>
    </font>
    <font>
      <b val="true"/>
      <sz val="11"/>
      <color rgb="FF000000"/>
      <name val="Calibri"/>
      <family val="2"/>
      <charset val="238"/>
    </font>
    <font>
      <sz val="9"/>
      <color rgb="FF000000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U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N2" activePane="bottomLeft" state="frozen"/>
      <selection pane="topLeft" activeCell="A1" activeCellId="0" sqref="A1"/>
      <selection pane="bottomLeft" activeCell="N2" activeCellId="0" sqref="N2"/>
    </sheetView>
  </sheetViews>
  <sheetFormatPr defaultColWidth="9.12109375" defaultRowHeight="15" zeroHeight="false" outlineLevelRow="0" outlineLevelCol="0"/>
  <cols>
    <col collapsed="false" customWidth="false" hidden="false" outlineLevel="0" max="2" min="1" style="1" width="9.14"/>
    <col collapsed="false" customWidth="true" hidden="false" outlineLevel="0" max="3" min="3" style="1" width="18.29"/>
    <col collapsed="false" customWidth="true" hidden="false" outlineLevel="0" max="4" min="4" style="1" width="16.29"/>
    <col collapsed="false" customWidth="false" hidden="false" outlineLevel="0" max="5" min="5" style="1" width="9.14"/>
    <col collapsed="false" customWidth="true" hidden="false" outlineLevel="0" max="6" min="6" style="1" width="19.15"/>
    <col collapsed="false" customWidth="true" hidden="false" outlineLevel="0" max="7" min="7" style="1" width="15.28"/>
    <col collapsed="false" customWidth="true" hidden="false" outlineLevel="0" max="8" min="8" style="1" width="24.86"/>
    <col collapsed="false" customWidth="true" hidden="false" outlineLevel="0" max="9" min="9" style="2" width="17.57"/>
    <col collapsed="false" customWidth="true" hidden="false" outlineLevel="0" max="10" min="10" style="1" width="6.85"/>
    <col collapsed="false" customWidth="true" hidden="false" outlineLevel="0" max="11" min="11" style="1" width="9.29"/>
    <col collapsed="false" customWidth="true" hidden="false" outlineLevel="0" max="12" min="12" style="1" width="9.43"/>
    <col collapsed="false" customWidth="true" hidden="false" outlineLevel="0" max="13" min="13" style="1" width="18.29"/>
    <col collapsed="false" customWidth="true" hidden="false" outlineLevel="0" max="14" min="14" style="1" width="24.86"/>
    <col collapsed="false" customWidth="false" hidden="false" outlineLevel="0" max="16" min="15" style="1" width="9.14"/>
    <col collapsed="false" customWidth="true" hidden="false" outlineLevel="0" max="17" min="17" style="1" width="18.29"/>
    <col collapsed="false" customWidth="true" hidden="false" outlineLevel="0" max="18" min="18" style="1" width="16.14"/>
    <col collapsed="false" customWidth="true" hidden="false" outlineLevel="0" max="19" min="19" style="1" width="6.43"/>
    <col collapsed="false" customWidth="true" hidden="false" outlineLevel="0" max="20" min="20" style="1" width="19.71"/>
    <col collapsed="false" customWidth="true" hidden="false" outlineLevel="0" max="21" min="21" style="1" width="15.28"/>
    <col collapsed="false" customWidth="false" hidden="false" outlineLevel="0" max="1024" min="22" style="1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3" t="s">
        <v>0</v>
      </c>
      <c r="L1" s="3" t="s">
        <v>1</v>
      </c>
      <c r="M1" s="4" t="s">
        <v>2</v>
      </c>
      <c r="N1" s="4" t="s">
        <v>7</v>
      </c>
      <c r="O1" s="3" t="s">
        <v>0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</row>
    <row r="2" customFormat="false" ht="15" hidden="false" customHeight="false" outlineLevel="0" collapsed="false">
      <c r="A2" s="1" t="s">
        <v>9</v>
      </c>
      <c r="B2" s="1" t="s">
        <v>10</v>
      </c>
      <c r="C2" s="5" t="n">
        <v>10.2</v>
      </c>
      <c r="D2" s="1" t="n">
        <v>100</v>
      </c>
      <c r="E2" s="1" t="n">
        <f aca="false">15*60</f>
        <v>900</v>
      </c>
      <c r="F2" s="1" t="n">
        <v>0.015</v>
      </c>
      <c r="G2" s="6" t="n">
        <f aca="false">0.131*0.084*F2/E2</f>
        <v>1.834E-007</v>
      </c>
      <c r="H2" s="7" t="n">
        <f aca="false">G2*(1+LN(C2/0.076))/(2*PI()*C2*D2)</f>
        <v>1.68821535537629E-010</v>
      </c>
      <c r="I2" s="2" t="n">
        <f aca="false">G2*1000000*60</f>
        <v>11.004</v>
      </c>
      <c r="J2" s="5"/>
      <c r="K2" s="3" t="s">
        <v>9</v>
      </c>
      <c r="L2" s="3" t="s">
        <v>10</v>
      </c>
      <c r="M2" s="8" t="n">
        <v>10.2</v>
      </c>
      <c r="N2" s="9" t="n">
        <f aca="false">AVERAGE(H2:H4)</f>
        <v>1.52195172189226E-010</v>
      </c>
      <c r="O2" s="3" t="s">
        <v>11</v>
      </c>
      <c r="P2" s="3" t="s">
        <v>12</v>
      </c>
      <c r="Q2" s="8" t="n">
        <v>6.64</v>
      </c>
      <c r="R2" s="3" t="n">
        <v>100</v>
      </c>
      <c r="S2" s="3" t="n">
        <v>660</v>
      </c>
      <c r="T2" s="3" t="n">
        <v>0.035</v>
      </c>
      <c r="U2" s="9" t="n">
        <f aca="false">0.131*0.084*T2/S2</f>
        <v>5.83545454545455E-007</v>
      </c>
    </row>
    <row r="3" customFormat="false" ht="15" hidden="false" customHeight="false" outlineLevel="0" collapsed="false">
      <c r="A3" s="1" t="s">
        <v>9</v>
      </c>
      <c r="B3" s="1" t="s">
        <v>10</v>
      </c>
      <c r="C3" s="5" t="n">
        <v>10.2</v>
      </c>
      <c r="D3" s="1" t="n">
        <v>200</v>
      </c>
      <c r="E3" s="1" t="n">
        <f aca="false">60*11</f>
        <v>660</v>
      </c>
      <c r="F3" s="1" t="n">
        <v>0.02</v>
      </c>
      <c r="G3" s="6" t="n">
        <f aca="false">0.131*0.084*F3/E3</f>
        <v>3.33454545454546E-007</v>
      </c>
      <c r="H3" s="7" t="n">
        <f aca="false">G3*(1+LN(C3/0.076))/(2*PI()*C3*D3)</f>
        <v>1.53474123216027E-010</v>
      </c>
      <c r="I3" s="2" t="n">
        <f aca="false">G3*1000000*60</f>
        <v>20.0072727272727</v>
      </c>
      <c r="J3" s="5"/>
      <c r="K3" s="3" t="s">
        <v>11</v>
      </c>
      <c r="L3" s="3" t="s">
        <v>12</v>
      </c>
      <c r="M3" s="8" t="n">
        <v>6.64</v>
      </c>
      <c r="N3" s="9" t="n">
        <f aca="false">AVERAGE(H5:H7)</f>
        <v>6.15732546397696E-010</v>
      </c>
      <c r="O3" s="3" t="s">
        <v>11</v>
      </c>
      <c r="P3" s="3" t="s">
        <v>13</v>
      </c>
      <c r="Q3" s="3" t="n">
        <v>1.64</v>
      </c>
      <c r="R3" s="3" t="n">
        <v>100</v>
      </c>
      <c r="S3" s="3" t="n">
        <v>600</v>
      </c>
      <c r="T3" s="3" t="n">
        <v>0.01</v>
      </c>
      <c r="U3" s="3" t="n">
        <v>1.834E-007</v>
      </c>
    </row>
    <row r="4" customFormat="false" ht="15" hidden="false" customHeight="false" outlineLevel="0" collapsed="false">
      <c r="A4" s="10" t="s">
        <v>9</v>
      </c>
      <c r="B4" s="10" t="s">
        <v>10</v>
      </c>
      <c r="C4" s="11" t="n">
        <v>10.2</v>
      </c>
      <c r="D4" s="10" t="n">
        <v>400</v>
      </c>
      <c r="E4" s="10" t="n">
        <f aca="false">11*60</f>
        <v>660</v>
      </c>
      <c r="F4" s="10" t="n">
        <v>0.035</v>
      </c>
      <c r="G4" s="12" t="n">
        <f aca="false">0.131*0.084*F4/E4</f>
        <v>5.83545454545455E-007</v>
      </c>
      <c r="H4" s="13" t="n">
        <f aca="false">G4*(1+LN(C4/0.076))/(2*PI()*C4*D4)</f>
        <v>1.34289857814023E-010</v>
      </c>
      <c r="I4" s="2" t="n">
        <f aca="false">G4*1000000*60</f>
        <v>35.0127272727273</v>
      </c>
      <c r="J4" s="5"/>
      <c r="K4" s="3" t="s">
        <v>14</v>
      </c>
      <c r="L4" s="3" t="s">
        <v>15</v>
      </c>
      <c r="M4" s="8" t="n">
        <v>8</v>
      </c>
      <c r="N4" s="9" t="n">
        <f aca="false">AVERAGE(H8:H9,H10)</f>
        <v>1.82930614842691E-010</v>
      </c>
      <c r="O4" s="3" t="s">
        <v>11</v>
      </c>
      <c r="P4" s="3" t="s">
        <v>16</v>
      </c>
      <c r="Q4" s="3" t="n">
        <v>4.14</v>
      </c>
      <c r="R4" s="3" t="n">
        <v>100</v>
      </c>
      <c r="S4" s="3" t="n">
        <v>600</v>
      </c>
      <c r="T4" s="3" t="n">
        <v>0.02</v>
      </c>
      <c r="U4" s="3" t="n">
        <v>3.668E-007</v>
      </c>
    </row>
    <row r="5" customFormat="false" ht="15" hidden="false" customHeight="false" outlineLevel="0" collapsed="false">
      <c r="A5" s="1" t="s">
        <v>11</v>
      </c>
      <c r="B5" s="1" t="s">
        <v>12</v>
      </c>
      <c r="C5" s="5" t="n">
        <v>6.64</v>
      </c>
      <c r="D5" s="1" t="n">
        <v>100</v>
      </c>
      <c r="E5" s="1" t="n">
        <v>660</v>
      </c>
      <c r="F5" s="1" t="n">
        <v>0.035</v>
      </c>
      <c r="G5" s="6" t="n">
        <f aca="false">0.131*0.084*F5/E5</f>
        <v>5.83545454545455E-007</v>
      </c>
      <c r="H5" s="7" t="n">
        <f aca="false">G5*(1+LN(C5/0.076))/(2*PI()*C5*D5)</f>
        <v>7.65111448186486E-010</v>
      </c>
      <c r="I5" s="2" t="n">
        <f aca="false">G5*1000000*60</f>
        <v>35.0127272727273</v>
      </c>
      <c r="J5" s="5"/>
      <c r="K5" s="3" t="s">
        <v>17</v>
      </c>
      <c r="L5" s="3" t="s">
        <v>18</v>
      </c>
      <c r="M5" s="8" t="n">
        <v>9.5</v>
      </c>
      <c r="N5" s="9" t="n">
        <f aca="false">AVERAGE(H12:H14)</f>
        <v>7.83460015453637E-011</v>
      </c>
    </row>
    <row r="6" customFormat="false" ht="15" hidden="false" customHeight="false" outlineLevel="0" collapsed="false">
      <c r="A6" s="1" t="s">
        <v>11</v>
      </c>
      <c r="B6" s="1" t="s">
        <v>12</v>
      </c>
      <c r="C6" s="5" t="n">
        <v>6.64</v>
      </c>
      <c r="D6" s="1" t="n">
        <v>200</v>
      </c>
      <c r="E6" s="1" t="n">
        <v>600</v>
      </c>
      <c r="F6" s="1" t="n">
        <v>0.05</v>
      </c>
      <c r="G6" s="6" t="n">
        <f aca="false">0.131*0.084*F6/E6</f>
        <v>9.17E-007</v>
      </c>
      <c r="H6" s="7" t="n">
        <f aca="false">G6*(1+LN(C6/0.076))/(2*PI()*C6*D6)</f>
        <v>6.01158995003668E-010</v>
      </c>
      <c r="I6" s="2" t="n">
        <f aca="false">G6*1000000*60</f>
        <v>55.02</v>
      </c>
      <c r="J6" s="5"/>
      <c r="K6" s="3" t="s">
        <v>19</v>
      </c>
      <c r="L6" s="3" t="s">
        <v>20</v>
      </c>
      <c r="M6" s="8" t="n">
        <v>9</v>
      </c>
      <c r="N6" s="9" t="n">
        <f aca="false">H18</f>
        <v>9.36358762197852E-011</v>
      </c>
    </row>
    <row r="7" customFormat="false" ht="15" hidden="false" customHeight="false" outlineLevel="0" collapsed="false">
      <c r="A7" s="10" t="s">
        <v>11</v>
      </c>
      <c r="B7" s="10" t="s">
        <v>12</v>
      </c>
      <c r="C7" s="11" t="n">
        <v>6.64</v>
      </c>
      <c r="D7" s="10" t="n">
        <v>400</v>
      </c>
      <c r="E7" s="10" t="n">
        <v>600</v>
      </c>
      <c r="F7" s="10" t="n">
        <v>0.08</v>
      </c>
      <c r="G7" s="12" t="n">
        <f aca="false">0.131*0.084*F7/E7</f>
        <v>1.4672E-006</v>
      </c>
      <c r="H7" s="13" t="n">
        <f aca="false">G7*(1+LN(C7/0.076))/(2*PI()*C7*D7)</f>
        <v>4.80927196002934E-010</v>
      </c>
      <c r="I7" s="2" t="n">
        <f aca="false">G7*1000000*60</f>
        <v>88.032</v>
      </c>
      <c r="J7" s="5"/>
      <c r="K7" s="3" t="s">
        <v>21</v>
      </c>
      <c r="L7" s="3" t="s">
        <v>22</v>
      </c>
      <c r="M7" s="8" t="n">
        <v>9</v>
      </c>
      <c r="N7" s="3" t="s">
        <v>23</v>
      </c>
    </row>
    <row r="8" customFormat="false" ht="15" hidden="false" customHeight="false" outlineLevel="0" collapsed="false">
      <c r="A8" s="1" t="s">
        <v>14</v>
      </c>
      <c r="B8" s="1" t="s">
        <v>15</v>
      </c>
      <c r="C8" s="5" t="n">
        <v>8</v>
      </c>
      <c r="D8" s="1" t="n">
        <v>100</v>
      </c>
      <c r="E8" s="1" t="n">
        <v>660</v>
      </c>
      <c r="F8" s="1" t="n">
        <v>0.01</v>
      </c>
      <c r="G8" s="6" t="n">
        <f aca="false">0.131*0.084*F8/E8</f>
        <v>1.66727272727273E-007</v>
      </c>
      <c r="H8" s="7" t="n">
        <f aca="false">G8*(1+LN(C8/0.076))/(2*PI()*C8*D8)</f>
        <v>1.87621143428401E-010</v>
      </c>
      <c r="I8" s="2" t="n">
        <f aca="false">G8*1000000*60</f>
        <v>10.0036363636364</v>
      </c>
      <c r="J8" s="5"/>
      <c r="K8" s="3" t="s">
        <v>24</v>
      </c>
      <c r="L8" s="3" t="s">
        <v>25</v>
      </c>
      <c r="M8" s="8" t="n">
        <v>9</v>
      </c>
      <c r="N8" s="9" t="n">
        <f aca="false">AVERAGE(H24:H26)</f>
        <v>3.90149484249105E-011</v>
      </c>
    </row>
    <row r="9" customFormat="false" ht="15" hidden="false" customHeight="false" outlineLevel="0" collapsed="false">
      <c r="A9" s="1" t="s">
        <v>14</v>
      </c>
      <c r="B9" s="1" t="s">
        <v>15</v>
      </c>
      <c r="C9" s="5" t="n">
        <v>8</v>
      </c>
      <c r="D9" s="1" t="n">
        <v>200</v>
      </c>
      <c r="E9" s="1" t="n">
        <v>600</v>
      </c>
      <c r="F9" s="1" t="n">
        <v>0.0225</v>
      </c>
      <c r="G9" s="6" t="n">
        <f aca="false">0.131*0.084*F9/E9</f>
        <v>4.1265E-007</v>
      </c>
      <c r="H9" s="7" t="n">
        <f aca="false">G9*(1+LN(C9/0.076))/(2*PI()*C9*D9)</f>
        <v>2.32181164992646E-010</v>
      </c>
      <c r="I9" s="2" t="n">
        <f aca="false">G9*1000000*60</f>
        <v>24.759</v>
      </c>
      <c r="J9" s="5"/>
      <c r="K9" s="3" t="s">
        <v>26</v>
      </c>
      <c r="L9" s="3" t="s">
        <v>25</v>
      </c>
      <c r="M9" s="8" t="n">
        <v>9</v>
      </c>
      <c r="N9" s="9" t="n">
        <f aca="false">AVERAGE(H27:H29)</f>
        <v>4.96553889044316E-011</v>
      </c>
    </row>
    <row r="10" customFormat="false" ht="15" hidden="false" customHeight="false" outlineLevel="0" collapsed="false">
      <c r="A10" s="10" t="s">
        <v>14</v>
      </c>
      <c r="B10" s="10" t="s">
        <v>15</v>
      </c>
      <c r="C10" s="11" t="n">
        <v>8</v>
      </c>
      <c r="D10" s="10" t="n">
        <v>400</v>
      </c>
      <c r="E10" s="10" t="n">
        <v>600</v>
      </c>
      <c r="F10" s="10" t="n">
        <v>0.025</v>
      </c>
      <c r="G10" s="12" t="n">
        <f aca="false">0.131*0.084*F10/E10</f>
        <v>4.585E-007</v>
      </c>
      <c r="H10" s="13" t="n">
        <f aca="false">G10*(1+LN(C10/0.076))/(2*PI()*C10*D10)</f>
        <v>1.28989536107025E-010</v>
      </c>
      <c r="I10" s="2" t="n">
        <f aca="false">G10*1000000*60</f>
        <v>27.51</v>
      </c>
      <c r="J10" s="5"/>
    </row>
    <row r="11" customFormat="false" ht="15" hidden="false" customHeight="false" outlineLevel="0" collapsed="false">
      <c r="A11" s="14" t="s">
        <v>14</v>
      </c>
      <c r="B11" s="14" t="s">
        <v>27</v>
      </c>
      <c r="C11" s="15" t="n">
        <v>9.05</v>
      </c>
      <c r="D11" s="14" t="n">
        <v>400</v>
      </c>
      <c r="E11" s="14" t="n">
        <v>600</v>
      </c>
      <c r="F11" s="14" t="n">
        <v>0.04</v>
      </c>
      <c r="G11" s="16" t="n">
        <f aca="false">0.131*0.084*F11/E11</f>
        <v>7.336E-007</v>
      </c>
      <c r="H11" s="17" t="n">
        <f aca="false">G11*(1+LN(C11/0.076))/(2*PI()*C11*D11)</f>
        <v>1.86415789626917E-010</v>
      </c>
      <c r="I11" s="2" t="n">
        <f aca="false">G11*1000000*60</f>
        <v>44.016</v>
      </c>
      <c r="J11" s="5"/>
    </row>
    <row r="12" customFormat="false" ht="15" hidden="false" customHeight="false" outlineLevel="0" collapsed="false">
      <c r="A12" s="18" t="s">
        <v>17</v>
      </c>
      <c r="B12" s="18" t="s">
        <v>18</v>
      </c>
      <c r="C12" s="19" t="n">
        <v>9.5</v>
      </c>
      <c r="D12" s="18" t="n">
        <v>100</v>
      </c>
      <c r="E12" s="18" t="n">
        <v>600</v>
      </c>
      <c r="F12" s="18" t="n">
        <v>0.005</v>
      </c>
      <c r="G12" s="20" t="n">
        <f aca="false">0.131*0.084*F12/E12</f>
        <v>9.17E-008</v>
      </c>
      <c r="H12" s="21" t="n">
        <f aca="false">G12*(1+LN(C12/0.076))/(2*PI()*C12*D12)</f>
        <v>8.95382874804157E-011</v>
      </c>
      <c r="I12" s="2" t="n">
        <f aca="false">G12*1000000*60</f>
        <v>5.502</v>
      </c>
      <c r="J12" s="5"/>
    </row>
    <row r="13" customFormat="false" ht="15" hidden="false" customHeight="false" outlineLevel="0" collapsed="false">
      <c r="A13" s="1" t="s">
        <v>17</v>
      </c>
      <c r="B13" s="1" t="s">
        <v>18</v>
      </c>
      <c r="C13" s="5" t="n">
        <v>9.5</v>
      </c>
      <c r="D13" s="1" t="n">
        <v>200</v>
      </c>
      <c r="E13" s="1" t="n">
        <v>600</v>
      </c>
      <c r="F13" s="1" t="n">
        <v>0.0075</v>
      </c>
      <c r="G13" s="6" t="n">
        <f aca="false">0.131*0.084*F13/E13</f>
        <v>1.3755E-007</v>
      </c>
      <c r="H13" s="7" t="n">
        <f aca="false">G13*(1+LN(C13/0.076))/(2*PI()*C13*D13)</f>
        <v>6.71537156103118E-011</v>
      </c>
      <c r="I13" s="2" t="n">
        <f aca="false">G13*1000000*60</f>
        <v>8.253</v>
      </c>
      <c r="J13" s="5"/>
    </row>
    <row r="14" customFormat="false" ht="15" hidden="false" customHeight="false" outlineLevel="0" collapsed="false">
      <c r="A14" s="10" t="s">
        <v>17</v>
      </c>
      <c r="B14" s="10" t="s">
        <v>18</v>
      </c>
      <c r="C14" s="11" t="n">
        <v>9.5</v>
      </c>
      <c r="D14" s="10" t="n">
        <v>400</v>
      </c>
      <c r="E14" s="10" t="n">
        <v>600</v>
      </c>
      <c r="F14" s="10" t="n">
        <v>0.0175</v>
      </c>
      <c r="G14" s="12" t="n">
        <f aca="false">0.131*0.084*F14/E14</f>
        <v>3.2095E-007</v>
      </c>
      <c r="H14" s="13" t="n">
        <f aca="false">G14*(1+LN(C14/0.076))/(2*PI()*C14*D14)</f>
        <v>7.83460015453637E-011</v>
      </c>
      <c r="I14" s="2" t="n">
        <f aca="false">G14*1000000*60</f>
        <v>19.257</v>
      </c>
      <c r="J14" s="5"/>
    </row>
    <row r="15" customFormat="false" ht="15" hidden="false" customHeight="false" outlineLevel="0" collapsed="false">
      <c r="A15" s="14" t="s">
        <v>11</v>
      </c>
      <c r="B15" s="14" t="s">
        <v>13</v>
      </c>
      <c r="C15" s="15" t="n">
        <v>1.64</v>
      </c>
      <c r="D15" s="14" t="n">
        <v>100</v>
      </c>
      <c r="E15" s="14" t="n">
        <v>600</v>
      </c>
      <c r="F15" s="14" t="n">
        <v>0.01</v>
      </c>
      <c r="G15" s="16" t="n">
        <f aca="false">0.131*0.084*F15/E15</f>
        <v>1.834E-007</v>
      </c>
      <c r="H15" s="17" t="n">
        <f aca="false">G15*(1+LN(C15/0.076))/(2*PI()*C15*D15)</f>
        <v>7.24691764705077E-010</v>
      </c>
      <c r="I15" s="2" t="n">
        <f aca="false">G15*1000000*60</f>
        <v>11.004</v>
      </c>
      <c r="J15" s="5"/>
    </row>
    <row r="16" customFormat="false" ht="15" hidden="false" customHeight="false" outlineLevel="0" collapsed="false">
      <c r="A16" s="14" t="s">
        <v>11</v>
      </c>
      <c r="B16" s="14" t="s">
        <v>16</v>
      </c>
      <c r="C16" s="15" t="n">
        <v>4.14</v>
      </c>
      <c r="D16" s="14" t="n">
        <v>100</v>
      </c>
      <c r="E16" s="14" t="n">
        <v>600</v>
      </c>
      <c r="F16" s="14" t="n">
        <v>0.02</v>
      </c>
      <c r="G16" s="16" t="n">
        <f aca="false">0.131*0.084*F16/E16</f>
        <v>3.668E-007</v>
      </c>
      <c r="H16" s="17" t="n">
        <f aca="false">G16*(1+LN(C16/0.076))/(2*PI()*C16*D16)</f>
        <v>7.04726886460093E-010</v>
      </c>
      <c r="I16" s="2" t="n">
        <f aca="false">G16*1000000*60</f>
        <v>22.008</v>
      </c>
      <c r="J16" s="5"/>
    </row>
    <row r="17" customFormat="false" ht="15" hidden="false" customHeight="false" outlineLevel="0" collapsed="false">
      <c r="A17" s="14" t="s">
        <v>11</v>
      </c>
      <c r="B17" s="14" t="s">
        <v>28</v>
      </c>
      <c r="C17" s="15" t="n">
        <v>3.14</v>
      </c>
      <c r="D17" s="14" t="n">
        <v>100</v>
      </c>
      <c r="E17" s="14" t="n">
        <v>600</v>
      </c>
      <c r="F17" s="14" t="n">
        <v>0.02</v>
      </c>
      <c r="G17" s="16" t="n">
        <f aca="false">0.131*0.084*F17/E17</f>
        <v>3.668E-007</v>
      </c>
      <c r="H17" s="17" t="n">
        <f aca="false">G17*(1+LN(C17/0.076))/(2*PI()*C17*D17)</f>
        <v>8.7776108836746E-010</v>
      </c>
      <c r="I17" s="2" t="n">
        <f aca="false">G17*1000000*60</f>
        <v>22.008</v>
      </c>
      <c r="J17" s="5"/>
    </row>
    <row r="18" customFormat="false" ht="15" hidden="false" customHeight="false" outlineLevel="0" collapsed="false">
      <c r="A18" s="1" t="s">
        <v>19</v>
      </c>
      <c r="B18" s="1" t="s">
        <v>20</v>
      </c>
      <c r="C18" s="5" t="n">
        <v>9</v>
      </c>
      <c r="D18" s="1" t="n">
        <v>100</v>
      </c>
      <c r="E18" s="1" t="n">
        <v>600</v>
      </c>
      <c r="F18" s="1" t="n">
        <v>0.005</v>
      </c>
      <c r="G18" s="6" t="n">
        <f aca="false">0.131*0.084*F18/E18</f>
        <v>9.17E-008</v>
      </c>
      <c r="H18" s="7" t="n">
        <f aca="false">G18*(1+LN(C18/0.076))/(2*PI()*C18*D18)</f>
        <v>9.36358762197852E-011</v>
      </c>
      <c r="I18" s="2" t="n">
        <f aca="false">G18*1000000*60</f>
        <v>5.502</v>
      </c>
      <c r="J18" s="5"/>
    </row>
    <row r="19" customFormat="false" ht="15" hidden="false" customHeight="false" outlineLevel="0" collapsed="false">
      <c r="A19" s="1" t="s">
        <v>19</v>
      </c>
      <c r="B19" s="1" t="s">
        <v>20</v>
      </c>
      <c r="C19" s="5" t="n">
        <v>9</v>
      </c>
      <c r="D19" s="1" t="n">
        <v>200</v>
      </c>
      <c r="E19" s="1" t="n">
        <v>600</v>
      </c>
      <c r="F19" s="1" t="n">
        <v>0</v>
      </c>
      <c r="G19" s="6" t="n">
        <f aca="false">0.131*0.084*F19/E19</f>
        <v>0</v>
      </c>
      <c r="H19" s="7" t="n">
        <f aca="false">G19*(1+LN(C19/0.076))/(2*PI()*C19*D19)</f>
        <v>0</v>
      </c>
      <c r="I19" s="2" t="n">
        <f aca="false">G19*1000000*60</f>
        <v>0</v>
      </c>
      <c r="J19" s="5"/>
    </row>
    <row r="20" customFormat="false" ht="15" hidden="false" customHeight="false" outlineLevel="0" collapsed="false">
      <c r="A20" s="10" t="s">
        <v>19</v>
      </c>
      <c r="B20" s="10" t="s">
        <v>20</v>
      </c>
      <c r="C20" s="11" t="n">
        <v>9</v>
      </c>
      <c r="D20" s="10" t="n">
        <v>400</v>
      </c>
      <c r="E20" s="10" t="n">
        <v>600</v>
      </c>
      <c r="F20" s="10" t="n">
        <v>0</v>
      </c>
      <c r="G20" s="12" t="n">
        <f aca="false">0.131*0.084*F20/E20</f>
        <v>0</v>
      </c>
      <c r="H20" s="13" t="n">
        <f aca="false">G20*(1+LN(C20/0.076))/(2*PI()*C20*D20)</f>
        <v>0</v>
      </c>
      <c r="I20" s="2" t="n">
        <f aca="false">G20*1000000*60</f>
        <v>0</v>
      </c>
      <c r="J20" s="5"/>
    </row>
    <row r="21" customFormat="false" ht="15" hidden="false" customHeight="false" outlineLevel="0" collapsed="false">
      <c r="A21" s="1" t="s">
        <v>21</v>
      </c>
      <c r="B21" s="1" t="s">
        <v>22</v>
      </c>
      <c r="C21" s="5" t="n">
        <v>9</v>
      </c>
      <c r="D21" s="1" t="n">
        <v>100</v>
      </c>
      <c r="E21" s="1" t="n">
        <v>600</v>
      </c>
      <c r="F21" s="1" t="n">
        <v>0</v>
      </c>
      <c r="G21" s="6" t="n">
        <f aca="false">0.131*0.084*F21/E21</f>
        <v>0</v>
      </c>
      <c r="H21" s="7" t="n">
        <f aca="false">G21*(1+LN(C21/0.076))/(2*PI()*C21*D21)</f>
        <v>0</v>
      </c>
      <c r="I21" s="2" t="n">
        <f aca="false">G21*1000000*60</f>
        <v>0</v>
      </c>
      <c r="J21" s="5"/>
    </row>
    <row r="22" customFormat="false" ht="15" hidden="false" customHeight="false" outlineLevel="0" collapsed="false">
      <c r="A22" s="1" t="s">
        <v>21</v>
      </c>
      <c r="B22" s="1" t="s">
        <v>22</v>
      </c>
      <c r="C22" s="5" t="n">
        <v>9</v>
      </c>
      <c r="D22" s="1" t="n">
        <v>200</v>
      </c>
      <c r="E22" s="1" t="n">
        <v>600</v>
      </c>
      <c r="F22" s="1" t="n">
        <v>0</v>
      </c>
      <c r="G22" s="6" t="n">
        <f aca="false">0.131*0.084*F22/E22</f>
        <v>0</v>
      </c>
      <c r="H22" s="7" t="n">
        <f aca="false">G22*(1+LN(C22/0.076))/(2*PI()*C22*D22)</f>
        <v>0</v>
      </c>
      <c r="I22" s="2" t="n">
        <f aca="false">G22*1000000*60</f>
        <v>0</v>
      </c>
      <c r="J22" s="5"/>
    </row>
    <row r="23" customFormat="false" ht="15" hidden="false" customHeight="false" outlineLevel="0" collapsed="false">
      <c r="A23" s="10" t="s">
        <v>21</v>
      </c>
      <c r="B23" s="10" t="s">
        <v>22</v>
      </c>
      <c r="C23" s="11" t="n">
        <v>9</v>
      </c>
      <c r="D23" s="10" t="n">
        <v>400</v>
      </c>
      <c r="E23" s="10" t="n">
        <v>600</v>
      </c>
      <c r="F23" s="10" t="n">
        <v>0</v>
      </c>
      <c r="G23" s="12" t="n">
        <f aca="false">0.131*0.084*F23/E23</f>
        <v>0</v>
      </c>
      <c r="H23" s="13" t="n">
        <f aca="false">G23*(1+LN(C23/0.076))/(2*PI()*C23*D23)</f>
        <v>0</v>
      </c>
      <c r="I23" s="2" t="n">
        <f aca="false">G23*1000000*60</f>
        <v>0</v>
      </c>
      <c r="J23" s="5"/>
    </row>
    <row r="24" customFormat="false" ht="15" hidden="false" customHeight="false" outlineLevel="0" collapsed="false">
      <c r="A24" s="1" t="s">
        <v>24</v>
      </c>
      <c r="B24" s="1" t="s">
        <v>25</v>
      </c>
      <c r="C24" s="5" t="n">
        <v>9</v>
      </c>
      <c r="D24" s="1" t="n">
        <v>100</v>
      </c>
      <c r="E24" s="1" t="n">
        <v>600</v>
      </c>
      <c r="F24" s="1" t="n">
        <v>0.0025</v>
      </c>
      <c r="G24" s="6" t="n">
        <f aca="false">0.131*0.084*F24/E24</f>
        <v>4.585E-008</v>
      </c>
      <c r="H24" s="7" t="n">
        <f aca="false">G24*(1+LN(C24/0.076))/(2*PI()*C24*D24)</f>
        <v>4.68179381098926E-011</v>
      </c>
      <c r="I24" s="2" t="n">
        <f aca="false">G24*1000000*60</f>
        <v>2.751</v>
      </c>
      <c r="J24" s="5"/>
    </row>
    <row r="25" customFormat="false" ht="15" hidden="false" customHeight="false" outlineLevel="0" collapsed="false">
      <c r="A25" s="1" t="s">
        <v>24</v>
      </c>
      <c r="B25" s="1" t="s">
        <v>25</v>
      </c>
      <c r="C25" s="5" t="n">
        <v>9</v>
      </c>
      <c r="D25" s="1" t="n">
        <v>200</v>
      </c>
      <c r="E25" s="1" t="n">
        <v>600</v>
      </c>
      <c r="F25" s="1" t="n">
        <v>0.005</v>
      </c>
      <c r="G25" s="6" t="n">
        <f aca="false">0.131*0.084*F25/E25</f>
        <v>9.17E-008</v>
      </c>
      <c r="H25" s="7" t="n">
        <f aca="false">G25*(1+LN(C25/0.076))/(2*PI()*C25*D25)</f>
        <v>4.68179381098926E-011</v>
      </c>
      <c r="I25" s="2" t="n">
        <f aca="false">G25*1000000*60</f>
        <v>5.502</v>
      </c>
      <c r="J25" s="5"/>
    </row>
    <row r="26" customFormat="false" ht="15" hidden="false" customHeight="false" outlineLevel="0" collapsed="false">
      <c r="A26" s="10" t="s">
        <v>24</v>
      </c>
      <c r="B26" s="10" t="s">
        <v>25</v>
      </c>
      <c r="C26" s="11" t="n">
        <v>9</v>
      </c>
      <c r="D26" s="10" t="n">
        <v>400</v>
      </c>
      <c r="E26" s="10" t="n">
        <v>600</v>
      </c>
      <c r="F26" s="10" t="n">
        <v>0.005</v>
      </c>
      <c r="G26" s="12" t="n">
        <f aca="false">0.131*0.084*F26/E26</f>
        <v>9.17E-008</v>
      </c>
      <c r="H26" s="13" t="n">
        <f aca="false">G26*(1+LN(C26/0.076))/(2*PI()*C26*D26)</f>
        <v>2.34089690549463E-011</v>
      </c>
      <c r="I26" s="2" t="n">
        <f aca="false">G26*1000000*60</f>
        <v>5.502</v>
      </c>
      <c r="J26" s="5"/>
    </row>
    <row r="27" customFormat="false" ht="15" hidden="false" customHeight="false" outlineLevel="0" collapsed="false">
      <c r="A27" s="1" t="s">
        <v>26</v>
      </c>
      <c r="B27" s="1" t="s">
        <v>25</v>
      </c>
      <c r="C27" s="5" t="n">
        <v>9</v>
      </c>
      <c r="D27" s="1" t="n">
        <v>100</v>
      </c>
      <c r="E27" s="1" t="n">
        <v>660</v>
      </c>
      <c r="F27" s="1" t="n">
        <v>0.005</v>
      </c>
      <c r="G27" s="6" t="n">
        <f aca="false">0.131*0.084*F27/E27</f>
        <v>8.33636363636364E-008</v>
      </c>
      <c r="H27" s="7" t="n">
        <f aca="false">G27*(1+LN(C27/0.076))/(2*PI()*C27*D27)</f>
        <v>8.51235238361684E-011</v>
      </c>
      <c r="I27" s="2" t="n">
        <f aca="false">G27*1000000*60</f>
        <v>5.00181818181818</v>
      </c>
      <c r="J27" s="5"/>
    </row>
    <row r="28" customFormat="false" ht="15" hidden="false" customHeight="false" outlineLevel="0" collapsed="false">
      <c r="A28" s="1" t="s">
        <v>26</v>
      </c>
      <c r="B28" s="1" t="s">
        <v>25</v>
      </c>
      <c r="C28" s="5" t="n">
        <v>9</v>
      </c>
      <c r="D28" s="1" t="n">
        <v>200</v>
      </c>
      <c r="E28" s="1" t="n">
        <v>660</v>
      </c>
      <c r="F28" s="1" t="n">
        <v>0.005</v>
      </c>
      <c r="G28" s="6" t="n">
        <f aca="false">0.131*0.084*F28/E28</f>
        <v>8.33636363636364E-008</v>
      </c>
      <c r="H28" s="7" t="n">
        <f aca="false">G28*(1+LN(C28/0.076))/(2*PI()*C28*D28)</f>
        <v>4.25617619180842E-011</v>
      </c>
      <c r="I28" s="2" t="n">
        <f aca="false">G28*1000000*60</f>
        <v>5.00181818181818</v>
      </c>
      <c r="J28" s="5"/>
    </row>
    <row r="29" customFormat="false" ht="15" hidden="false" customHeight="false" outlineLevel="0" collapsed="false">
      <c r="A29" s="1" t="s">
        <v>26</v>
      </c>
      <c r="B29" s="1" t="s">
        <v>25</v>
      </c>
      <c r="C29" s="5" t="n">
        <v>9</v>
      </c>
      <c r="D29" s="1" t="n">
        <v>400</v>
      </c>
      <c r="E29" s="1" t="n">
        <v>660</v>
      </c>
      <c r="F29" s="1" t="n">
        <v>0.005</v>
      </c>
      <c r="G29" s="6" t="n">
        <f aca="false">0.131*0.084*F29/E29</f>
        <v>8.33636363636364E-008</v>
      </c>
      <c r="H29" s="7" t="n">
        <f aca="false">G29*(1+LN(C29/0.076))/(2*PI()*C29*D29)</f>
        <v>2.12808809590421E-011</v>
      </c>
      <c r="I29" s="2" t="n">
        <f aca="false">G29*1000000*60</f>
        <v>5.00181818181818</v>
      </c>
      <c r="J29" s="5"/>
    </row>
    <row r="30" customFormat="false" ht="15" hidden="false" customHeight="false" outlineLevel="0" collapsed="false">
      <c r="C30" s="5"/>
    </row>
    <row r="31" customFormat="false" ht="15" hidden="false" customHeight="false" outlineLevel="0" collapsed="false">
      <c r="C31" s="5"/>
    </row>
    <row r="32" customFormat="false" ht="15" hidden="false" customHeight="false" outlineLevel="0" collapsed="false">
      <c r="C32" s="5"/>
    </row>
    <row r="33" customFormat="false" ht="15" hidden="false" customHeight="false" outlineLevel="0" collapsed="false">
      <c r="C33" s="5"/>
    </row>
    <row r="34" customFormat="false" ht="15" hidden="false" customHeight="false" outlineLevel="0" collapsed="false">
      <c r="C34" s="5"/>
    </row>
    <row r="35" customFormat="false" ht="15" hidden="false" customHeight="false" outlineLevel="0" collapsed="false">
      <c r="C35" s="5"/>
    </row>
    <row r="36" customFormat="false" ht="15" hidden="false" customHeight="false" outlineLevel="0" collapsed="false">
      <c r="C36" s="5"/>
    </row>
    <row r="37" customFormat="false" ht="15" hidden="false" customHeight="false" outlineLevel="0" collapsed="false">
      <c r="C37" s="5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3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U43" activeCellId="0" sqref="U43"/>
    </sheetView>
  </sheetViews>
  <sheetFormatPr defaultColWidth="9.12109375" defaultRowHeight="13.8" zeroHeight="false" outlineLevelRow="0" outlineLevelCol="0"/>
  <cols>
    <col collapsed="false" customWidth="false" hidden="false" outlineLevel="0" max="3" min="1" style="22" width="9.14"/>
    <col collapsed="false" customWidth="true" hidden="false" outlineLevel="0" max="4" min="4" style="23" width="9.29"/>
    <col collapsed="false" customWidth="true" hidden="false" outlineLevel="0" max="5" min="5" style="22" width="8.57"/>
    <col collapsed="false" customWidth="true" hidden="false" outlineLevel="0" max="6" min="6" style="22" width="6.43"/>
    <col collapsed="false" customWidth="true" hidden="false" outlineLevel="0" max="7" min="7" style="24" width="9.56"/>
    <col collapsed="false" customWidth="true" hidden="false" outlineLevel="0" max="8" min="8" style="24" width="8.57"/>
    <col collapsed="false" customWidth="true" hidden="false" outlineLevel="0" max="9" min="9" style="23" width="8.57"/>
    <col collapsed="false" customWidth="true" hidden="false" outlineLevel="0" max="10" min="10" style="25" width="15.28"/>
    <col collapsed="false" customWidth="true" hidden="false" outlineLevel="0" max="11" min="11" style="24" width="12.72"/>
    <col collapsed="false" customWidth="true" hidden="false" outlineLevel="0" max="12" min="12" style="22" width="9.71"/>
    <col collapsed="false" customWidth="true" hidden="false" outlineLevel="0" max="13" min="13" style="22" width="13.86"/>
    <col collapsed="false" customWidth="true" hidden="false" outlineLevel="0" max="14" min="14" style="22" width="8.57"/>
    <col collapsed="false" customWidth="false" hidden="false" outlineLevel="0" max="16" min="15" style="22" width="9.14"/>
    <col collapsed="false" customWidth="true" hidden="false" outlineLevel="0" max="17" min="17" style="22" width="14.94"/>
    <col collapsed="false" customWidth="false" hidden="false" outlineLevel="0" max="1023" min="18" style="22" width="9.14"/>
  </cols>
  <sheetData>
    <row r="1" s="26" customFormat="true" ht="23.85" hidden="false" customHeight="false" outlineLevel="0" collapsed="false">
      <c r="A1" s="26" t="s">
        <v>0</v>
      </c>
      <c r="B1" s="26" t="s">
        <v>29</v>
      </c>
      <c r="C1" s="26" t="s">
        <v>30</v>
      </c>
      <c r="D1" s="27" t="s">
        <v>31</v>
      </c>
      <c r="E1" s="26" t="s">
        <v>32</v>
      </c>
      <c r="F1" s="26" t="s">
        <v>33</v>
      </c>
      <c r="G1" s="28" t="s">
        <v>34</v>
      </c>
      <c r="H1" s="28" t="s">
        <v>35</v>
      </c>
      <c r="I1" s="27" t="s">
        <v>36</v>
      </c>
      <c r="J1" s="29" t="s">
        <v>37</v>
      </c>
      <c r="K1" s="28" t="s">
        <v>38</v>
      </c>
      <c r="L1" s="26" t="s">
        <v>35</v>
      </c>
      <c r="M1" s="26" t="s">
        <v>39</v>
      </c>
      <c r="O1" s="26" t="s">
        <v>40</v>
      </c>
      <c r="P1" s="26" t="s">
        <v>41</v>
      </c>
      <c r="AMJ1" s="0"/>
    </row>
    <row r="2" s="26" customFormat="true" ht="13.8" hidden="false" customHeight="false" outlineLevel="0" collapsed="false">
      <c r="C2" s="26" t="s">
        <v>42</v>
      </c>
      <c r="D2" s="27" t="s">
        <v>42</v>
      </c>
      <c r="E2" s="26" t="s">
        <v>42</v>
      </c>
      <c r="F2" s="26" t="s">
        <v>43</v>
      </c>
      <c r="G2" s="28" t="s">
        <v>44</v>
      </c>
      <c r="H2" s="28" t="s">
        <v>45</v>
      </c>
      <c r="I2" s="27" t="s">
        <v>46</v>
      </c>
      <c r="J2" s="29"/>
      <c r="K2" s="28" t="s">
        <v>47</v>
      </c>
      <c r="L2" s="26" t="s">
        <v>48</v>
      </c>
      <c r="M2" s="26" t="s">
        <v>49</v>
      </c>
      <c r="AMJ2" s="0"/>
    </row>
    <row r="3" s="26" customFormat="true" ht="91" hidden="false" customHeight="false" outlineLevel="0" collapsed="false">
      <c r="D3" s="27"/>
      <c r="E3" s="26" t="s">
        <v>50</v>
      </c>
      <c r="G3" s="28"/>
      <c r="H3" s="28"/>
      <c r="I3" s="27"/>
      <c r="K3" s="29" t="s">
        <v>51</v>
      </c>
      <c r="L3" s="26" t="s">
        <v>52</v>
      </c>
      <c r="M3" s="26" t="s">
        <v>53</v>
      </c>
      <c r="AMJ3" s="0"/>
    </row>
    <row r="4" customFormat="false" ht="13.8" hidden="false" customHeight="false" outlineLevel="0" collapsed="false">
      <c r="A4" s="22" t="s">
        <v>9</v>
      </c>
      <c r="B4" s="22" t="n">
        <v>2</v>
      </c>
      <c r="C4" s="22" t="s">
        <v>54</v>
      </c>
      <c r="D4" s="23" t="n">
        <f aca="false">13.1-9.5</f>
        <v>3.6</v>
      </c>
      <c r="E4" s="30"/>
      <c r="F4" s="22" t="n">
        <v>0</v>
      </c>
      <c r="G4" s="24" t="n">
        <v>0</v>
      </c>
      <c r="J4" s="25" t="n">
        <v>45742.4375</v>
      </c>
      <c r="L4" s="31"/>
      <c r="M4" s="32"/>
      <c r="N4" s="33"/>
      <c r="R4" s="34" t="n">
        <f aca="false">MEDIAN(IF(OR(Q:Q&lt;&gt;0,ISBLANK(Q:Q)),Q:Q))</f>
        <v>0.0253384766659097</v>
      </c>
    </row>
    <row r="5" customFormat="false" ht="13.8" hidden="false" customHeight="false" outlineLevel="0" collapsed="false">
      <c r="F5" s="22" t="n">
        <v>0.5</v>
      </c>
      <c r="G5" s="24" t="n">
        <v>430000</v>
      </c>
      <c r="H5" s="24" t="n">
        <f aca="false">(G5-G4)/(F5-F4)</f>
        <v>860000</v>
      </c>
      <c r="I5" s="23" t="n">
        <v>8</v>
      </c>
      <c r="L5" s="31"/>
      <c r="M5" s="32"/>
      <c r="N5" s="33"/>
      <c r="R5" s="22" t="s">
        <v>55</v>
      </c>
    </row>
    <row r="6" customFormat="false" ht="13.8" hidden="false" customHeight="false" outlineLevel="0" collapsed="false">
      <c r="F6" s="22" t="n">
        <v>1</v>
      </c>
      <c r="G6" s="24" t="n">
        <v>830000</v>
      </c>
      <c r="H6" s="24" t="n">
        <f aca="false">(G6-G5)/(F6-F5)</f>
        <v>800000</v>
      </c>
      <c r="I6" s="23" t="n">
        <v>7.1</v>
      </c>
      <c r="L6" s="31"/>
      <c r="M6" s="32"/>
      <c r="N6" s="33"/>
    </row>
    <row r="7" customFormat="false" ht="13.8" hidden="false" customHeight="false" outlineLevel="0" collapsed="false">
      <c r="F7" s="22" t="n">
        <v>1.5</v>
      </c>
      <c r="G7" s="24" t="n">
        <v>1210000</v>
      </c>
      <c r="H7" s="24" t="n">
        <f aca="false">(G7-G6)/(F7-F6)</f>
        <v>760000</v>
      </c>
      <c r="I7" s="23" t="n">
        <v>6.7</v>
      </c>
      <c r="L7" s="31"/>
      <c r="M7" s="32"/>
      <c r="N7" s="33"/>
    </row>
    <row r="8" customFormat="false" ht="13.8" hidden="false" customHeight="false" outlineLevel="0" collapsed="false">
      <c r="F8" s="22" t="n">
        <v>2</v>
      </c>
      <c r="G8" s="24" t="n">
        <v>1580000</v>
      </c>
      <c r="H8" s="24" t="n">
        <f aca="false">(G8-G7)/(F8-F7)</f>
        <v>740000</v>
      </c>
      <c r="I8" s="23" t="n">
        <v>6.4</v>
      </c>
      <c r="L8" s="31"/>
      <c r="M8" s="32"/>
      <c r="N8" s="33"/>
    </row>
    <row r="9" customFormat="false" ht="13.8" hidden="false" customHeight="false" outlineLevel="0" collapsed="false">
      <c r="F9" s="22" t="n">
        <v>2.5</v>
      </c>
      <c r="G9" s="24" t="n">
        <v>1940000</v>
      </c>
      <c r="H9" s="24" t="n">
        <f aca="false">(G9-G8)/(F9-F8)</f>
        <v>720000</v>
      </c>
      <c r="I9" s="23" t="n">
        <v>6</v>
      </c>
      <c r="L9" s="31"/>
      <c r="M9" s="32"/>
      <c r="N9" s="33"/>
    </row>
    <row r="10" customFormat="false" ht="13.8" hidden="false" customHeight="false" outlineLevel="0" collapsed="false">
      <c r="F10" s="22" t="n">
        <v>3</v>
      </c>
      <c r="G10" s="24" t="n">
        <v>2280000</v>
      </c>
      <c r="H10" s="24" t="n">
        <f aca="false">(G10-G9)/(F10-F9)</f>
        <v>680000</v>
      </c>
      <c r="I10" s="23" t="n">
        <v>5.7</v>
      </c>
      <c r="L10" s="31"/>
      <c r="M10" s="32"/>
      <c r="N10" s="33"/>
    </row>
    <row r="11" customFormat="false" ht="13.8" hidden="false" customHeight="false" outlineLevel="0" collapsed="false">
      <c r="F11" s="22" t="n">
        <v>3.5</v>
      </c>
      <c r="G11" s="24" t="n">
        <v>2620000</v>
      </c>
      <c r="H11" s="24" t="n">
        <f aca="false">(G11-G10)/(F11-F10)</f>
        <v>680000</v>
      </c>
      <c r="I11" s="23" t="n">
        <v>5.4</v>
      </c>
      <c r="L11" s="31"/>
      <c r="M11" s="32"/>
      <c r="N11" s="33"/>
    </row>
    <row r="12" customFormat="false" ht="13.8" hidden="false" customHeight="false" outlineLevel="0" collapsed="false">
      <c r="F12" s="22" t="n">
        <v>4</v>
      </c>
      <c r="G12" s="24" t="n">
        <v>2930000</v>
      </c>
      <c r="H12" s="24" t="n">
        <f aca="false">(G12-G11)/(F12-F11)</f>
        <v>620000</v>
      </c>
      <c r="I12" s="23" t="n">
        <v>5.3</v>
      </c>
      <c r="L12" s="31"/>
      <c r="M12" s="32"/>
      <c r="N12" s="33"/>
    </row>
    <row r="13" customFormat="false" ht="13.8" hidden="false" customHeight="false" outlineLevel="0" collapsed="false">
      <c r="F13" s="22" t="n">
        <v>4.5</v>
      </c>
      <c r="G13" s="24" t="n">
        <v>3240000</v>
      </c>
      <c r="H13" s="24" t="n">
        <f aca="false">(G13-G12)/(F13-F12)</f>
        <v>620000</v>
      </c>
      <c r="I13" s="23" t="n">
        <v>5</v>
      </c>
      <c r="L13" s="31"/>
      <c r="M13" s="32"/>
      <c r="N13" s="33"/>
    </row>
    <row r="14" customFormat="false" ht="13.8" hidden="false" customHeight="false" outlineLevel="0" collapsed="false">
      <c r="F14" s="22" t="n">
        <v>5</v>
      </c>
      <c r="G14" s="24" t="n">
        <v>3540000</v>
      </c>
      <c r="H14" s="24" t="n">
        <f aca="false">(G14-G13)/(F14-F13)</f>
        <v>600000</v>
      </c>
      <c r="I14" s="23" t="n">
        <v>5</v>
      </c>
      <c r="L14" s="31"/>
      <c r="M14" s="32"/>
      <c r="N14" s="33"/>
    </row>
    <row r="15" customFormat="false" ht="13.8" hidden="false" customHeight="false" outlineLevel="0" collapsed="false">
      <c r="F15" s="22" t="n">
        <v>5.5</v>
      </c>
      <c r="G15" s="24" t="n">
        <v>3840000</v>
      </c>
      <c r="H15" s="24" t="n">
        <f aca="false">(G15-G14)/(F15-F14)</f>
        <v>600000</v>
      </c>
      <c r="I15" s="23" t="n">
        <v>4.9</v>
      </c>
      <c r="L15" s="31"/>
      <c r="M15" s="32"/>
      <c r="N15" s="33"/>
    </row>
    <row r="16" customFormat="false" ht="13.8" hidden="false" customHeight="false" outlineLevel="0" collapsed="false">
      <c r="F16" s="22" t="n">
        <v>6</v>
      </c>
      <c r="G16" s="24" t="n">
        <v>4110000</v>
      </c>
      <c r="H16" s="24" t="n">
        <f aca="false">(G16-G15)/(F16-F15)</f>
        <v>540000</v>
      </c>
      <c r="I16" s="23" t="n">
        <v>4.5</v>
      </c>
      <c r="L16" s="31"/>
      <c r="M16" s="32"/>
      <c r="N16" s="33"/>
    </row>
    <row r="17" customFormat="false" ht="13.8" hidden="false" customHeight="false" outlineLevel="0" collapsed="false">
      <c r="F17" s="22" t="n">
        <v>6.5</v>
      </c>
      <c r="G17" s="24" t="n">
        <v>4380000</v>
      </c>
      <c r="H17" s="24" t="n">
        <f aca="false">(G17-G16)/(F17-F16)</f>
        <v>540000</v>
      </c>
      <c r="I17" s="23" t="n">
        <v>4.5</v>
      </c>
      <c r="L17" s="31"/>
      <c r="M17" s="32"/>
      <c r="N17" s="33"/>
    </row>
    <row r="18" customFormat="false" ht="13.8" hidden="false" customHeight="false" outlineLevel="0" collapsed="false">
      <c r="F18" s="22" t="n">
        <v>7</v>
      </c>
      <c r="G18" s="24" t="n">
        <v>4640000</v>
      </c>
      <c r="H18" s="24" t="n">
        <f aca="false">(G18-G17)/(F18-F17)</f>
        <v>520000</v>
      </c>
      <c r="I18" s="23" t="n">
        <v>4.25</v>
      </c>
      <c r="L18" s="31"/>
      <c r="M18" s="32"/>
      <c r="N18" s="33"/>
    </row>
    <row r="19" customFormat="false" ht="13.8" hidden="false" customHeight="false" outlineLevel="0" collapsed="false">
      <c r="F19" s="22" t="n">
        <v>7.5</v>
      </c>
      <c r="G19" s="24" t="n">
        <v>4900000</v>
      </c>
      <c r="H19" s="24" t="n">
        <f aca="false">(G19-G18)/(F19-F18)</f>
        <v>520000</v>
      </c>
      <c r="I19" s="23" t="n">
        <v>4.1</v>
      </c>
      <c r="L19" s="31"/>
      <c r="M19" s="32"/>
      <c r="N19" s="33"/>
    </row>
    <row r="20" customFormat="false" ht="13.8" hidden="false" customHeight="false" outlineLevel="0" collapsed="false">
      <c r="F20" s="22" t="n">
        <v>8</v>
      </c>
      <c r="G20" s="24" t="n">
        <v>5140000</v>
      </c>
      <c r="H20" s="24" t="n">
        <f aca="false">(G20-G19)/(F20-F19)</f>
        <v>480000</v>
      </c>
      <c r="I20" s="23" t="n">
        <v>4</v>
      </c>
      <c r="L20" s="31"/>
      <c r="M20" s="32"/>
      <c r="N20" s="33"/>
    </row>
    <row r="21" customFormat="false" ht="13.8" hidden="false" customHeight="false" outlineLevel="0" collapsed="false">
      <c r="D21" s="23" t="n">
        <v>3.6</v>
      </c>
      <c r="E21" s="22" t="n">
        <v>9.5</v>
      </c>
      <c r="F21" s="22" t="n">
        <v>8.5</v>
      </c>
      <c r="G21" s="24" t="n">
        <v>5380000</v>
      </c>
      <c r="H21" s="24" t="n">
        <f aca="false">(G21-G20)/(F21-F20)</f>
        <v>480000</v>
      </c>
      <c r="I21" s="23" t="n">
        <v>4</v>
      </c>
      <c r="K21" s="24" t="n">
        <v>95</v>
      </c>
      <c r="L21" s="31" t="n">
        <f aca="false">H21*0.000000001/60</f>
        <v>8E-006</v>
      </c>
      <c r="M21" s="35" t="n">
        <f aca="false">L21*(1+LN(D21/0.076))/(2*PI()*D21*E21)</f>
        <v>1.8085793599312E-007</v>
      </c>
      <c r="N21" s="33"/>
    </row>
    <row r="22" customFormat="false" ht="13.8" hidden="false" customHeight="false" outlineLevel="0" collapsed="false">
      <c r="D22" s="23" t="n">
        <v>3.6</v>
      </c>
      <c r="E22" s="22" t="n">
        <v>9.5</v>
      </c>
      <c r="F22" s="22" t="n">
        <v>9</v>
      </c>
      <c r="G22" s="24" t="n">
        <v>5610000</v>
      </c>
      <c r="H22" s="24" t="n">
        <f aca="false">(G22-G21)/(F22-F21)</f>
        <v>460000</v>
      </c>
      <c r="I22" s="23" t="n">
        <v>3.9</v>
      </c>
      <c r="K22" s="24" t="n">
        <v>95</v>
      </c>
      <c r="L22" s="31" t="n">
        <f aca="false">H22*0.000000001/60</f>
        <v>7.66666666666667E-006</v>
      </c>
      <c r="M22" s="35" t="n">
        <f aca="false">L22*(1+LN(D22/0.076))/(2*PI()*D22*E22)</f>
        <v>1.73322188660074E-007</v>
      </c>
      <c r="N22" s="36" t="n">
        <f aca="false">AVERAGE(M21:M22)</f>
        <v>1.77090062326597E-007</v>
      </c>
      <c r="O22" s="22" t="n">
        <f aca="false">(MAX(L21:L22) - MIN(L21:L22))  / 3</f>
        <v>1.1111111111111E-007</v>
      </c>
      <c r="P22" s="34" t="n">
        <f aca="false">IF(Q22&lt;&gt;0, Q22, $R$4)</f>
        <v>0.0144927536231883</v>
      </c>
      <c r="Q22" s="34" t="n">
        <f aca="false">O22/L22</f>
        <v>0.0144927536231883</v>
      </c>
    </row>
    <row r="23" customFormat="false" ht="13.8" hidden="false" customHeight="false" outlineLevel="0" collapsed="false">
      <c r="A23" s="22" t="s">
        <v>9</v>
      </c>
      <c r="B23" s="22" t="n">
        <v>1</v>
      </c>
      <c r="C23" s="22" t="s">
        <v>56</v>
      </c>
      <c r="D23" s="23" t="n">
        <f aca="false">9-6.5</f>
        <v>2.5</v>
      </c>
      <c r="F23" s="22" t="n">
        <v>0</v>
      </c>
      <c r="G23" s="24" t="n">
        <v>0</v>
      </c>
      <c r="I23" s="23" t="n">
        <v>9</v>
      </c>
      <c r="J23" s="25" t="n">
        <v>45742.4479166667</v>
      </c>
      <c r="L23" s="31"/>
      <c r="M23" s="32"/>
      <c r="N23" s="33"/>
      <c r="P23" s="34"/>
      <c r="Q23" s="34"/>
    </row>
    <row r="24" customFormat="false" ht="13.8" hidden="false" customHeight="false" outlineLevel="0" collapsed="false">
      <c r="F24" s="22" t="n">
        <v>0.5</v>
      </c>
      <c r="G24" s="24" t="n">
        <v>110000</v>
      </c>
      <c r="H24" s="24" t="n">
        <f aca="false">(G24-G23)/(F24-F23)</f>
        <v>220000</v>
      </c>
      <c r="I24" s="23" t="n">
        <v>9</v>
      </c>
      <c r="L24" s="31"/>
      <c r="M24" s="32"/>
      <c r="N24" s="33"/>
      <c r="P24" s="34"/>
      <c r="Q24" s="34"/>
    </row>
    <row r="25" customFormat="false" ht="13.8" hidden="false" customHeight="false" outlineLevel="0" collapsed="false">
      <c r="F25" s="22" t="n">
        <v>1</v>
      </c>
      <c r="G25" s="24" t="n">
        <v>120000</v>
      </c>
      <c r="H25" s="24" t="n">
        <f aca="false">(G25-G24)/(F25-F24)</f>
        <v>20000</v>
      </c>
      <c r="I25" s="23" t="n">
        <v>8.8</v>
      </c>
      <c r="L25" s="31"/>
      <c r="M25" s="32"/>
      <c r="N25" s="33"/>
      <c r="P25" s="34"/>
      <c r="Q25" s="34"/>
    </row>
    <row r="26" customFormat="false" ht="13.8" hidden="false" customHeight="false" outlineLevel="0" collapsed="false">
      <c r="F26" s="22" t="n">
        <v>2</v>
      </c>
      <c r="G26" s="24" t="n">
        <v>140000</v>
      </c>
      <c r="H26" s="24" t="n">
        <f aca="false">(G26-G25)/(F26-F25)</f>
        <v>20000</v>
      </c>
      <c r="I26" s="23" t="n">
        <v>8.8</v>
      </c>
      <c r="L26" s="31"/>
      <c r="M26" s="32"/>
      <c r="N26" s="33"/>
      <c r="P26" s="34"/>
      <c r="Q26" s="34"/>
    </row>
    <row r="27" customFormat="false" ht="13.8" hidden="false" customHeight="false" outlineLevel="0" collapsed="false">
      <c r="F27" s="22" t="n">
        <v>3</v>
      </c>
      <c r="G27" s="24" t="n">
        <v>150000</v>
      </c>
      <c r="H27" s="24" t="n">
        <f aca="false">(G27-G26)/(F27-F26)</f>
        <v>10000</v>
      </c>
      <c r="I27" s="23" t="n">
        <v>8.8</v>
      </c>
      <c r="L27" s="31"/>
      <c r="M27" s="32"/>
      <c r="N27" s="33"/>
      <c r="P27" s="34"/>
      <c r="Q27" s="34"/>
    </row>
    <row r="28" customFormat="false" ht="13.8" hidden="false" customHeight="false" outlineLevel="0" collapsed="false">
      <c r="F28" s="22" t="n">
        <v>4</v>
      </c>
      <c r="G28" s="24" t="n">
        <v>160000</v>
      </c>
      <c r="H28" s="24" t="n">
        <f aca="false">(G28-G27)/(F28-F27)</f>
        <v>10000</v>
      </c>
      <c r="I28" s="23" t="n">
        <v>8.8</v>
      </c>
      <c r="L28" s="31"/>
      <c r="M28" s="32"/>
      <c r="N28" s="33"/>
      <c r="P28" s="34"/>
      <c r="Q28" s="34"/>
    </row>
    <row r="29" customFormat="false" ht="13.8" hidden="false" customHeight="false" outlineLevel="0" collapsed="false">
      <c r="F29" s="22" t="n">
        <v>5</v>
      </c>
      <c r="G29" s="24" t="n">
        <v>170000</v>
      </c>
      <c r="H29" s="24" t="n">
        <f aca="false">(G29-G28)/(F29-F28)</f>
        <v>10000</v>
      </c>
      <c r="I29" s="23" t="n">
        <v>8.8</v>
      </c>
      <c r="L29" s="31"/>
      <c r="M29" s="32"/>
      <c r="N29" s="33"/>
      <c r="P29" s="34"/>
      <c r="Q29" s="34"/>
    </row>
    <row r="30" customFormat="false" ht="13.8" hidden="false" customHeight="false" outlineLevel="0" collapsed="false">
      <c r="F30" s="22" t="n">
        <v>6</v>
      </c>
      <c r="G30" s="24" t="n">
        <v>180000</v>
      </c>
      <c r="H30" s="24" t="n">
        <f aca="false">(G30-G29)/(F30-F29)</f>
        <v>10000</v>
      </c>
      <c r="I30" s="23" t="n">
        <v>8.8</v>
      </c>
      <c r="L30" s="31"/>
      <c r="M30" s="32"/>
      <c r="N30" s="33"/>
      <c r="P30" s="34"/>
      <c r="Q30" s="34"/>
    </row>
    <row r="31" customFormat="false" ht="13.8" hidden="false" customHeight="false" outlineLevel="0" collapsed="false">
      <c r="F31" s="22" t="n">
        <v>7</v>
      </c>
      <c r="G31" s="24" t="n">
        <v>200000</v>
      </c>
      <c r="H31" s="24" t="n">
        <f aca="false">(G31-G30)/(F31-F30)</f>
        <v>20000</v>
      </c>
      <c r="I31" s="23" t="n">
        <v>8.8</v>
      </c>
      <c r="L31" s="31"/>
      <c r="M31" s="32"/>
      <c r="N31" s="33"/>
      <c r="P31" s="34"/>
      <c r="Q31" s="34"/>
    </row>
    <row r="32" customFormat="false" ht="13.8" hidden="false" customHeight="false" outlineLevel="0" collapsed="false">
      <c r="F32" s="22" t="n">
        <v>8</v>
      </c>
      <c r="G32" s="24" t="n">
        <v>210000</v>
      </c>
      <c r="H32" s="24" t="n">
        <f aca="false">(G32-G31)/(F32-F31)</f>
        <v>10000</v>
      </c>
      <c r="I32" s="23" t="n">
        <v>8.8</v>
      </c>
      <c r="L32" s="31"/>
      <c r="M32" s="32"/>
      <c r="N32" s="33"/>
      <c r="P32" s="34"/>
      <c r="Q32" s="34"/>
    </row>
    <row r="33" customFormat="false" ht="13.8" hidden="false" customHeight="false" outlineLevel="0" collapsed="false">
      <c r="F33" s="22" t="n">
        <v>9</v>
      </c>
      <c r="G33" s="24" t="n">
        <v>220000</v>
      </c>
      <c r="H33" s="24" t="n">
        <f aca="false">(G33-G32)/(F33-F32)</f>
        <v>10000</v>
      </c>
      <c r="I33" s="23" t="n">
        <v>8.8</v>
      </c>
      <c r="L33" s="31"/>
      <c r="M33" s="32"/>
      <c r="N33" s="33"/>
      <c r="P33" s="34"/>
      <c r="Q33" s="34"/>
    </row>
    <row r="34" customFormat="false" ht="13.8" hidden="false" customHeight="false" outlineLevel="0" collapsed="false">
      <c r="F34" s="22" t="n">
        <v>10</v>
      </c>
      <c r="G34" s="24" t="n">
        <v>230000</v>
      </c>
      <c r="H34" s="24" t="n">
        <f aca="false">(G34-G33)/(F34-F33)</f>
        <v>10000</v>
      </c>
      <c r="I34" s="23" t="n">
        <v>8.8</v>
      </c>
      <c r="L34" s="31"/>
      <c r="M34" s="32"/>
      <c r="N34" s="33"/>
      <c r="P34" s="34"/>
      <c r="Q34" s="34"/>
    </row>
    <row r="35" customFormat="false" ht="13.8" hidden="false" customHeight="false" outlineLevel="0" collapsed="false">
      <c r="F35" s="22" t="n">
        <v>11</v>
      </c>
      <c r="G35" s="24" t="n">
        <v>240000</v>
      </c>
      <c r="H35" s="24" t="n">
        <f aca="false">(G35-G34)/(F35-F34)</f>
        <v>10000</v>
      </c>
      <c r="I35" s="23" t="n">
        <v>8.8</v>
      </c>
      <c r="L35" s="31"/>
      <c r="M35" s="32"/>
      <c r="N35" s="33"/>
      <c r="P35" s="34"/>
      <c r="Q35" s="34"/>
    </row>
    <row r="36" customFormat="false" ht="13.8" hidden="false" customHeight="false" outlineLevel="0" collapsed="false">
      <c r="F36" s="22" t="n">
        <v>12</v>
      </c>
      <c r="G36" s="24" t="n">
        <v>250000</v>
      </c>
      <c r="H36" s="24" t="n">
        <f aca="false">(G36-G35)/(F36-F35)</f>
        <v>10000</v>
      </c>
      <c r="I36" s="23" t="n">
        <v>8.7</v>
      </c>
      <c r="L36" s="31"/>
      <c r="M36" s="32"/>
      <c r="N36" s="33"/>
      <c r="P36" s="34"/>
      <c r="Q36" s="34"/>
    </row>
    <row r="37" customFormat="false" ht="13.8" hidden="false" customHeight="false" outlineLevel="0" collapsed="false">
      <c r="F37" s="22" t="n">
        <v>13</v>
      </c>
      <c r="G37" s="24" t="n">
        <v>260000</v>
      </c>
      <c r="H37" s="24" t="n">
        <f aca="false">(G37-G36)/(F37-F36)</f>
        <v>10000</v>
      </c>
      <c r="I37" s="23" t="n">
        <v>8.7</v>
      </c>
      <c r="L37" s="31"/>
      <c r="M37" s="32"/>
      <c r="N37" s="33"/>
      <c r="P37" s="34"/>
      <c r="Q37" s="34"/>
    </row>
    <row r="38" customFormat="false" ht="13.8" hidden="false" customHeight="false" outlineLevel="0" collapsed="false">
      <c r="D38" s="23" t="n">
        <v>2.5</v>
      </c>
      <c r="E38" s="22" t="n">
        <v>81.1</v>
      </c>
      <c r="F38" s="22" t="n">
        <v>14</v>
      </c>
      <c r="G38" s="24" t="n">
        <v>270000</v>
      </c>
      <c r="H38" s="24" t="n">
        <f aca="false">(G38-G37)/(F38-F37)</f>
        <v>10000</v>
      </c>
      <c r="I38" s="23" t="n">
        <v>8.7</v>
      </c>
      <c r="K38" s="24" t="n">
        <v>811</v>
      </c>
      <c r="L38" s="31" t="n">
        <f aca="false">H38*0.000000001/60</f>
        <v>1.66666666666667E-007</v>
      </c>
      <c r="M38" s="35" t="n">
        <f aca="false">L38*(1+LN(D38/0.076))/(2*PI()*D38*E38)</f>
        <v>5.87861013052737E-010</v>
      </c>
      <c r="N38" s="33"/>
      <c r="P38" s="34"/>
      <c r="Q38" s="34"/>
    </row>
    <row r="39" customFormat="false" ht="13.8" hidden="false" customHeight="false" outlineLevel="0" collapsed="false">
      <c r="D39" s="23" t="n">
        <v>2.5</v>
      </c>
      <c r="E39" s="22" t="n">
        <v>81.1</v>
      </c>
      <c r="F39" s="22" t="n">
        <v>15</v>
      </c>
      <c r="G39" s="24" t="n">
        <v>280000</v>
      </c>
      <c r="H39" s="24" t="n">
        <f aca="false">(G39-G38)/(F39-F38)</f>
        <v>10000</v>
      </c>
      <c r="I39" s="23" t="n">
        <v>8.7</v>
      </c>
      <c r="K39" s="24" t="n">
        <v>811</v>
      </c>
      <c r="L39" s="31" t="n">
        <f aca="false">H39*0.000000001/60</f>
        <v>1.66666666666667E-007</v>
      </c>
      <c r="M39" s="35" t="n">
        <f aca="false">L39*(1+LN(D39/0.076))/(2*PI()*D39*E39)</f>
        <v>5.87861013052737E-010</v>
      </c>
      <c r="N39" s="36" t="n">
        <f aca="false">AVERAGE(M38:M39)</f>
        <v>5.87861013052737E-010</v>
      </c>
      <c r="O39" s="22" t="n">
        <f aca="false">(MAX(L38:L39) - MIN(L38:L39))  / 3</f>
        <v>0</v>
      </c>
      <c r="P39" s="34" t="n">
        <f aca="false">IF(Q39&lt;&gt;0, Q39, $R$4)</f>
        <v>0.0253384766659097</v>
      </c>
      <c r="Q39" s="34" t="n">
        <f aca="false">O39/L39</f>
        <v>0</v>
      </c>
    </row>
    <row r="40" customFormat="false" ht="13.8" hidden="false" customHeight="false" outlineLevel="0" collapsed="false">
      <c r="A40" s="22" t="s">
        <v>9</v>
      </c>
      <c r="B40" s="22" t="n">
        <v>0</v>
      </c>
      <c r="C40" s="22" t="s">
        <v>57</v>
      </c>
      <c r="D40" s="23" t="n">
        <f aca="false">5.5-3</f>
        <v>2.5</v>
      </c>
      <c r="E40" s="22" t="n">
        <v>50</v>
      </c>
      <c r="F40" s="22" t="n">
        <v>0</v>
      </c>
      <c r="G40" s="24" t="n">
        <v>0</v>
      </c>
      <c r="J40" s="25" t="n">
        <v>45741.3784722222</v>
      </c>
      <c r="P40" s="34"/>
      <c r="Q40" s="34"/>
    </row>
    <row r="41" customFormat="false" ht="13.8" hidden="false" customHeight="false" outlineLevel="0" collapsed="false">
      <c r="F41" s="22" t="n">
        <v>1</v>
      </c>
      <c r="G41" s="24" t="n">
        <v>1462</v>
      </c>
      <c r="H41" s="24" t="n">
        <f aca="false">(G41-G40)/(F41-F40)</f>
        <v>1462</v>
      </c>
      <c r="P41" s="34"/>
      <c r="Q41" s="34"/>
    </row>
    <row r="42" customFormat="false" ht="13.8" hidden="false" customHeight="false" outlineLevel="0" collapsed="false">
      <c r="F42" s="22" t="n">
        <v>2</v>
      </c>
      <c r="G42" s="24" t="n">
        <v>2712</v>
      </c>
      <c r="H42" s="24" t="n">
        <f aca="false">(G42-G41)/(F42-F41)</f>
        <v>1250</v>
      </c>
      <c r="P42" s="34"/>
      <c r="Q42" s="34"/>
    </row>
    <row r="43" customFormat="false" ht="13.8" hidden="false" customHeight="false" outlineLevel="0" collapsed="false">
      <c r="F43" s="22" t="n">
        <v>3</v>
      </c>
      <c r="G43" s="24" t="n">
        <v>3924</v>
      </c>
      <c r="H43" s="24" t="n">
        <f aca="false">(G43-G42)/(F43-F42)</f>
        <v>1212</v>
      </c>
      <c r="P43" s="34"/>
      <c r="Q43" s="34"/>
    </row>
    <row r="44" customFormat="false" ht="13.8" hidden="false" customHeight="false" outlineLevel="0" collapsed="false">
      <c r="F44" s="22" t="n">
        <v>4</v>
      </c>
      <c r="G44" s="24" t="n">
        <v>5070</v>
      </c>
      <c r="H44" s="24" t="n">
        <f aca="false">(G44-G43)/(F44-F43)</f>
        <v>1146</v>
      </c>
      <c r="P44" s="34"/>
      <c r="Q44" s="34"/>
    </row>
    <row r="45" customFormat="false" ht="13.8" hidden="false" customHeight="false" outlineLevel="0" collapsed="false">
      <c r="F45" s="22" t="n">
        <v>5</v>
      </c>
      <c r="G45" s="24" t="n">
        <v>6160</v>
      </c>
      <c r="H45" s="24" t="n">
        <f aca="false">(G45-G44)/(F45-F44)</f>
        <v>1090</v>
      </c>
      <c r="P45" s="34"/>
      <c r="Q45" s="34"/>
    </row>
    <row r="46" customFormat="false" ht="13.8" hidden="false" customHeight="false" outlineLevel="0" collapsed="false">
      <c r="F46" s="22" t="n">
        <v>6</v>
      </c>
      <c r="G46" s="24" t="n">
        <v>7207</v>
      </c>
      <c r="H46" s="24" t="n">
        <f aca="false">(G46-G45)/(F46-F45)</f>
        <v>1047</v>
      </c>
      <c r="P46" s="34"/>
      <c r="Q46" s="34"/>
    </row>
    <row r="47" customFormat="false" ht="13.8" hidden="false" customHeight="false" outlineLevel="0" collapsed="false">
      <c r="F47" s="22" t="n">
        <v>9</v>
      </c>
      <c r="G47" s="24" t="n">
        <v>10274</v>
      </c>
      <c r="H47" s="24" t="n">
        <f aca="false">(G47-G46)/(F47-F46)</f>
        <v>1022.33333333333</v>
      </c>
      <c r="P47" s="34"/>
      <c r="Q47" s="34"/>
    </row>
    <row r="48" customFormat="false" ht="13.8" hidden="false" customHeight="false" outlineLevel="0" collapsed="false">
      <c r="F48" s="22" t="n">
        <v>10</v>
      </c>
      <c r="G48" s="24" t="n">
        <v>11300</v>
      </c>
      <c r="H48" s="24" t="n">
        <f aca="false">(G48-G47)/(F48-F47)</f>
        <v>1026</v>
      </c>
      <c r="P48" s="34"/>
      <c r="Q48" s="34"/>
    </row>
    <row r="49" customFormat="false" ht="13.8" hidden="false" customHeight="false" outlineLevel="0" collapsed="false">
      <c r="F49" s="22" t="n">
        <v>20</v>
      </c>
      <c r="G49" s="24" t="n">
        <v>20406</v>
      </c>
      <c r="H49" s="24" t="n">
        <f aca="false">(G49-G48)/(F49-F48)</f>
        <v>910.6</v>
      </c>
      <c r="P49" s="34"/>
      <c r="Q49" s="34"/>
    </row>
    <row r="50" customFormat="false" ht="13.8" hidden="false" customHeight="false" outlineLevel="0" collapsed="false">
      <c r="D50" s="23" t="n">
        <v>2.5</v>
      </c>
      <c r="E50" s="22" t="n">
        <v>49.2</v>
      </c>
      <c r="F50" s="22" t="n">
        <v>30</v>
      </c>
      <c r="G50" s="24" t="n">
        <v>29012</v>
      </c>
      <c r="H50" s="24" t="n">
        <f aca="false">(G50-G49)/(F50-F49)</f>
        <v>860.6</v>
      </c>
      <c r="K50" s="24" t="n">
        <v>492</v>
      </c>
      <c r="L50" s="31" t="n">
        <f aca="false">H50*0.000000001/60</f>
        <v>1.43433333333333E-008</v>
      </c>
      <c r="M50" s="35" t="n">
        <f aca="false">L50*(1+LN(D50/0.076))/(2*PI()*D50*E50)</f>
        <v>8.33934136855109E-011</v>
      </c>
      <c r="P50" s="34"/>
      <c r="Q50" s="34"/>
    </row>
    <row r="51" customFormat="false" ht="13.8" hidden="false" customHeight="false" outlineLevel="0" collapsed="false">
      <c r="D51" s="23" t="n">
        <v>2.5</v>
      </c>
      <c r="E51" s="22" t="n">
        <v>49.2</v>
      </c>
      <c r="F51" s="22" t="n">
        <v>35</v>
      </c>
      <c r="G51" s="24" t="n">
        <v>33207</v>
      </c>
      <c r="H51" s="24" t="n">
        <f aca="false">(G51-G50)/(F51-F50)</f>
        <v>839</v>
      </c>
      <c r="K51" s="24" t="n">
        <v>492</v>
      </c>
      <c r="L51" s="31" t="n">
        <f aca="false">H51*0.000000001/60</f>
        <v>1.39833333333333E-008</v>
      </c>
      <c r="M51" s="35" t="n">
        <f aca="false">L51*(1+LN(D51/0.076))/(2*PI()*D51*E51)</f>
        <v>8.13003417175733E-011</v>
      </c>
      <c r="N51" s="36" t="n">
        <f aca="false">AVERAGE(M50:M51)</f>
        <v>8.23468777015421E-011</v>
      </c>
      <c r="O51" s="22" t="n">
        <f aca="false">(MAX(L50:L51) - MIN(L50:L51))  / 3</f>
        <v>1.2E-010</v>
      </c>
      <c r="P51" s="34" t="n">
        <f aca="false">IF(Q51&lt;&gt;0, Q51, $R$4)</f>
        <v>0.00858164481525628</v>
      </c>
      <c r="Q51" s="34" t="n">
        <f aca="false">O51/L51</f>
        <v>0.00858164481525628</v>
      </c>
    </row>
    <row r="52" customFormat="false" ht="13.8" hidden="false" customHeight="false" outlineLevel="0" collapsed="false">
      <c r="A52" s="1" t="s">
        <v>11</v>
      </c>
      <c r="B52" s="1" t="n">
        <v>2</v>
      </c>
      <c r="C52" s="1" t="s">
        <v>58</v>
      </c>
      <c r="D52" s="23" t="n">
        <f aca="false">8.6-7.5</f>
        <v>1.1</v>
      </c>
      <c r="E52" s="22" t="n">
        <v>100</v>
      </c>
      <c r="F52" s="22" t="n">
        <v>0</v>
      </c>
      <c r="G52" s="24" t="n">
        <v>0</v>
      </c>
      <c r="J52" s="25" t="n">
        <v>45741.4131944444</v>
      </c>
      <c r="P52" s="34"/>
      <c r="Q52" s="34"/>
    </row>
    <row r="53" customFormat="false" ht="13.8" hidden="false" customHeight="false" outlineLevel="0" collapsed="false">
      <c r="F53" s="22" t="n">
        <v>1</v>
      </c>
      <c r="G53" s="24" t="n">
        <v>639</v>
      </c>
      <c r="H53" s="24" t="n">
        <f aca="false">(G53-G52)/(F53-F52)</f>
        <v>639</v>
      </c>
      <c r="P53" s="34"/>
      <c r="Q53" s="34"/>
    </row>
    <row r="54" customFormat="false" ht="13.8" hidden="false" customHeight="false" outlineLevel="0" collapsed="false">
      <c r="F54" s="22" t="n">
        <v>3</v>
      </c>
      <c r="G54" s="24" t="n">
        <v>1629</v>
      </c>
      <c r="H54" s="24" t="n">
        <f aca="false">(G54-G53)/(F54-F53)</f>
        <v>495</v>
      </c>
      <c r="P54" s="34"/>
      <c r="Q54" s="34"/>
    </row>
    <row r="55" customFormat="false" ht="13.8" hidden="false" customHeight="false" outlineLevel="0" collapsed="false">
      <c r="F55" s="22" t="n">
        <v>4</v>
      </c>
      <c r="G55" s="24" t="n">
        <v>2065</v>
      </c>
      <c r="H55" s="24" t="n">
        <f aca="false">(G55-G54)/(F55-F54)</f>
        <v>436</v>
      </c>
      <c r="P55" s="34"/>
      <c r="Q55" s="34"/>
    </row>
    <row r="56" customFormat="false" ht="13.8" hidden="false" customHeight="false" outlineLevel="0" collapsed="false">
      <c r="F56" s="22" t="n">
        <v>6</v>
      </c>
      <c r="G56" s="24" t="n">
        <v>2875</v>
      </c>
      <c r="H56" s="24" t="n">
        <f aca="false">(G56-G55)/(F56-F55)</f>
        <v>405</v>
      </c>
      <c r="P56" s="34"/>
      <c r="Q56" s="34"/>
    </row>
    <row r="57" customFormat="false" ht="13.8" hidden="false" customHeight="false" outlineLevel="0" collapsed="false">
      <c r="F57" s="22" t="n">
        <v>10</v>
      </c>
      <c r="G57" s="24" t="n">
        <v>4420</v>
      </c>
      <c r="H57" s="24" t="n">
        <f aca="false">(G57-G56)/(F57-F56)</f>
        <v>386.25</v>
      </c>
      <c r="P57" s="34"/>
      <c r="Q57" s="34"/>
    </row>
    <row r="58" customFormat="false" ht="13.8" hidden="false" customHeight="false" outlineLevel="0" collapsed="false">
      <c r="D58" s="23" t="n">
        <v>1.1</v>
      </c>
      <c r="E58" s="22" t="n">
        <v>97.4</v>
      </c>
      <c r="F58" s="22" t="n">
        <v>20</v>
      </c>
      <c r="G58" s="24" t="n">
        <v>7858</v>
      </c>
      <c r="H58" s="24" t="n">
        <f aca="false">(G58-G57)/(F58-F57)</f>
        <v>343.8</v>
      </c>
      <c r="K58" s="24" t="n">
        <v>974</v>
      </c>
      <c r="L58" s="31" t="n">
        <f aca="false">H58*0.000000001/60</f>
        <v>5.73E-009</v>
      </c>
      <c r="M58" s="35" t="n">
        <f aca="false">L58*(1+LN(D58/0.076))/(2*PI()*D58*E58)</f>
        <v>3.12582789573107E-011</v>
      </c>
      <c r="P58" s="34"/>
      <c r="Q58" s="34"/>
    </row>
    <row r="59" customFormat="false" ht="13.8" hidden="false" customHeight="false" outlineLevel="0" collapsed="false">
      <c r="D59" s="23" t="n">
        <v>1.1</v>
      </c>
      <c r="E59" s="22" t="n">
        <v>97.4</v>
      </c>
      <c r="F59" s="22" t="n">
        <v>25</v>
      </c>
      <c r="G59" s="24" t="n">
        <v>9497</v>
      </c>
      <c r="H59" s="24" t="n">
        <f aca="false">(G59-G58)/(F59-F58)</f>
        <v>327.8</v>
      </c>
      <c r="K59" s="24" t="n">
        <v>974</v>
      </c>
      <c r="L59" s="31" t="n">
        <f aca="false">H59*0.000000001/60</f>
        <v>5.46333333333333E-009</v>
      </c>
      <c r="M59" s="35" t="n">
        <f aca="false">L59*(1+LN(D59/0.076))/(2*PI()*D59*E59)</f>
        <v>2.98035597504551E-011</v>
      </c>
      <c r="P59" s="34"/>
      <c r="Q59" s="34"/>
    </row>
    <row r="60" customFormat="false" ht="13.8" hidden="false" customHeight="false" outlineLevel="0" collapsed="false">
      <c r="D60" s="23" t="n">
        <v>1.1</v>
      </c>
      <c r="E60" s="22" t="n">
        <v>97.4</v>
      </c>
      <c r="F60" s="22" t="n">
        <v>30</v>
      </c>
      <c r="G60" s="24" t="n">
        <v>11125</v>
      </c>
      <c r="H60" s="24" t="n">
        <f aca="false">(G60-G59)/(F60-F59)</f>
        <v>325.6</v>
      </c>
      <c r="K60" s="24" t="n">
        <v>974</v>
      </c>
      <c r="L60" s="31" t="n">
        <f aca="false">H60*0.000000001/60</f>
        <v>5.42666666666667E-009</v>
      </c>
      <c r="M60" s="35" t="n">
        <f aca="false">L60*(1+LN(D60/0.076))/(2*PI()*D60*E60)</f>
        <v>2.96035358595124E-011</v>
      </c>
      <c r="N60" s="36" t="n">
        <f aca="false">AVERAGE(M58:M60)</f>
        <v>3.02217915224261E-011</v>
      </c>
      <c r="O60" s="22" t="n">
        <f aca="false">(MAX(L58:L60) - MIN(L58:L60))  / 3</f>
        <v>1.0111111111111E-010</v>
      </c>
      <c r="P60" s="34" t="n">
        <f aca="false">IF(Q60&lt;&gt;0, Q60, $R$4)</f>
        <v>0.0186322686322684</v>
      </c>
      <c r="Q60" s="34" t="n">
        <f aca="false">O60/L60</f>
        <v>0.0186322686322684</v>
      </c>
    </row>
    <row r="61" customFormat="false" ht="13.8" hidden="false" customHeight="false" outlineLevel="0" collapsed="false">
      <c r="A61" s="1" t="s">
        <v>11</v>
      </c>
      <c r="B61" s="1" t="n">
        <v>1</v>
      </c>
      <c r="C61" s="1" t="s">
        <v>59</v>
      </c>
      <c r="D61" s="23" t="n">
        <f aca="false">6.5-5</f>
        <v>1.5</v>
      </c>
      <c r="E61" s="22" t="n">
        <v>100</v>
      </c>
      <c r="F61" s="22" t="n">
        <v>0</v>
      </c>
      <c r="G61" s="24" t="n">
        <v>0</v>
      </c>
      <c r="J61" s="25" t="n">
        <v>45741.4402777778</v>
      </c>
      <c r="P61" s="34"/>
      <c r="Q61" s="34"/>
    </row>
    <row r="62" customFormat="false" ht="13.8" hidden="false" customHeight="false" outlineLevel="0" collapsed="false">
      <c r="F62" s="22" t="n">
        <v>1</v>
      </c>
      <c r="G62" s="24" t="n">
        <v>14700</v>
      </c>
      <c r="H62" s="24" t="n">
        <f aca="false">(G62-G61)/(F62-F61)</f>
        <v>14700</v>
      </c>
      <c r="P62" s="34"/>
      <c r="Q62" s="34"/>
    </row>
    <row r="63" customFormat="false" ht="13.8" hidden="false" customHeight="false" outlineLevel="0" collapsed="false">
      <c r="F63" s="22" t="n">
        <v>2</v>
      </c>
      <c r="G63" s="24" t="n">
        <v>28037</v>
      </c>
      <c r="H63" s="24" t="n">
        <f aca="false">(G63-G62)/(F63-F62)</f>
        <v>13337</v>
      </c>
      <c r="P63" s="34"/>
      <c r="Q63" s="34"/>
    </row>
    <row r="64" customFormat="false" ht="13.8" hidden="false" customHeight="false" outlineLevel="0" collapsed="false">
      <c r="F64" s="22" t="n">
        <v>3</v>
      </c>
      <c r="G64" s="24" t="n">
        <v>40902</v>
      </c>
      <c r="H64" s="24" t="n">
        <f aca="false">(G64-G63)/(F64-F63)</f>
        <v>12865</v>
      </c>
      <c r="P64" s="34"/>
      <c r="Q64" s="34"/>
    </row>
    <row r="65" customFormat="false" ht="13.8" hidden="false" customHeight="false" outlineLevel="0" collapsed="false">
      <c r="F65" s="22" t="n">
        <v>4</v>
      </c>
      <c r="G65" s="24" t="n">
        <v>53123</v>
      </c>
      <c r="H65" s="24" t="n">
        <f aca="false">(G65-G64)/(F65-F64)</f>
        <v>12221</v>
      </c>
      <c r="P65" s="34"/>
      <c r="Q65" s="34"/>
    </row>
    <row r="66" customFormat="false" ht="13.8" hidden="false" customHeight="false" outlineLevel="0" collapsed="false">
      <c r="F66" s="22" t="n">
        <v>5</v>
      </c>
      <c r="G66" s="24" t="n">
        <v>65311</v>
      </c>
      <c r="H66" s="24" t="n">
        <f aca="false">(G66-G65)/(F66-F65)</f>
        <v>12188</v>
      </c>
      <c r="P66" s="34"/>
      <c r="Q66" s="34"/>
    </row>
    <row r="67" customFormat="false" ht="13.8" hidden="false" customHeight="false" outlineLevel="0" collapsed="false">
      <c r="D67" s="23" t="n">
        <v>1.5</v>
      </c>
      <c r="E67" s="22" t="n">
        <v>97.5</v>
      </c>
      <c r="F67" s="22" t="n">
        <v>6</v>
      </c>
      <c r="G67" s="24" t="n">
        <v>76608</v>
      </c>
      <c r="H67" s="24" t="n">
        <f aca="false">(G67-G66)/(F67-F66)</f>
        <v>11297</v>
      </c>
      <c r="K67" s="24" t="n">
        <v>975</v>
      </c>
      <c r="L67" s="31" t="n">
        <f aca="false">H67*0.000000001/60</f>
        <v>1.88283333333333E-007</v>
      </c>
      <c r="M67" s="35" t="n">
        <f aca="false">L67*(1+LN(D67/0.076))/(2*PI()*D67*E67)</f>
        <v>8.16000654652177E-010</v>
      </c>
      <c r="P67" s="34"/>
      <c r="Q67" s="34"/>
    </row>
    <row r="68" customFormat="false" ht="13.8" hidden="false" customHeight="false" outlineLevel="0" collapsed="false">
      <c r="D68" s="23" t="n">
        <v>1.5</v>
      </c>
      <c r="E68" s="22" t="n">
        <v>97.5</v>
      </c>
      <c r="F68" s="22" t="n">
        <v>7</v>
      </c>
      <c r="G68" s="24" t="n">
        <v>88463</v>
      </c>
      <c r="H68" s="24" t="n">
        <f aca="false">(G68-G67)/(F68-F67)</f>
        <v>11855</v>
      </c>
      <c r="K68" s="24" t="n">
        <v>975</v>
      </c>
      <c r="L68" s="31" t="n">
        <f aca="false">H68*0.000000001/60</f>
        <v>1.97583333333333E-007</v>
      </c>
      <c r="M68" s="35" t="n">
        <f aca="false">L68*(1+LN(D68/0.076))/(2*PI()*D68*E68)</f>
        <v>8.56305900761402E-010</v>
      </c>
      <c r="P68" s="34"/>
      <c r="Q68" s="34"/>
    </row>
    <row r="69" customFormat="false" ht="13.8" hidden="false" customHeight="false" outlineLevel="0" collapsed="false">
      <c r="D69" s="23" t="n">
        <v>1.5</v>
      </c>
      <c r="E69" s="22" t="n">
        <v>97.5</v>
      </c>
      <c r="F69" s="22" t="n">
        <v>8</v>
      </c>
      <c r="G69" s="24" t="n">
        <v>99807</v>
      </c>
      <c r="H69" s="24" t="n">
        <f aca="false">(G69-G68)/(F69-F68)</f>
        <v>11344</v>
      </c>
      <c r="K69" s="24" t="n">
        <v>975</v>
      </c>
      <c r="L69" s="31" t="n">
        <f aca="false">H69*0.000000001/60</f>
        <v>1.89066666666667E-007</v>
      </c>
      <c r="M69" s="35" t="n">
        <f aca="false">L69*(1+LN(D69/0.076))/(2*PI()*D69*E69)</f>
        <v>8.19395540973205E-010</v>
      </c>
      <c r="P69" s="34"/>
      <c r="Q69" s="34"/>
    </row>
    <row r="70" customFormat="false" ht="13.8" hidden="false" customHeight="false" outlineLevel="0" collapsed="false">
      <c r="D70" s="23" t="n">
        <v>1.5</v>
      </c>
      <c r="E70" s="22" t="n">
        <v>97.5</v>
      </c>
      <c r="F70" s="22" t="n">
        <v>9</v>
      </c>
      <c r="G70" s="24" t="n">
        <v>111472</v>
      </c>
      <c r="H70" s="24" t="n">
        <f aca="false">(G70-G69)/(F70-F69)</f>
        <v>11665</v>
      </c>
      <c r="K70" s="24" t="n">
        <v>975</v>
      </c>
      <c r="L70" s="31" t="n">
        <f aca="false">H70*0.000000001/60</f>
        <v>1.94416666666667E-007</v>
      </c>
      <c r="M70" s="35" t="n">
        <f aca="false">L70*(1+LN(D70/0.076))/(2*PI()*D70*E70)</f>
        <v>8.42581892229587E-010</v>
      </c>
      <c r="P70" s="34"/>
      <c r="Q70" s="34"/>
    </row>
    <row r="71" customFormat="false" ht="13.8" hidden="false" customHeight="false" outlineLevel="0" collapsed="false">
      <c r="D71" s="23" t="n">
        <v>1.5</v>
      </c>
      <c r="E71" s="22" t="n">
        <v>97.5</v>
      </c>
      <c r="F71" s="22" t="n">
        <v>11</v>
      </c>
      <c r="G71" s="24" t="n">
        <v>133507</v>
      </c>
      <c r="H71" s="24" t="n">
        <f aca="false">(G71-G70)/(F71-F70)</f>
        <v>11017.5</v>
      </c>
      <c r="K71" s="24" t="n">
        <v>975</v>
      </c>
      <c r="L71" s="31" t="n">
        <f aca="false">H71*0.000000001/60</f>
        <v>1.83625E-007</v>
      </c>
      <c r="M71" s="35" t="n">
        <f aca="false">L71*(1+LN(D71/0.076))/(2*PI()*D71*E71)</f>
        <v>7.95811915785639E-010</v>
      </c>
      <c r="N71" s="36" t="n">
        <f aca="false">AVERAGE(M67:M71)</f>
        <v>8.26019180880402E-010</v>
      </c>
      <c r="O71" s="22" t="n">
        <f aca="false">(MAX(L67:L71) - MIN(L67:L71))  / 3</f>
        <v>4.65277777777767E-009</v>
      </c>
      <c r="P71" s="34" t="n">
        <f aca="false">IF(Q71&lt;&gt;0, Q71, $R$4)</f>
        <v>0.0253384766659097</v>
      </c>
      <c r="Q71" s="34" t="n">
        <f aca="false">O71/L71</f>
        <v>0.0253384766659097</v>
      </c>
    </row>
    <row r="72" customFormat="false" ht="13.8" hidden="false" customHeight="false" outlineLevel="0" collapsed="false">
      <c r="A72" s="1" t="s">
        <v>11</v>
      </c>
      <c r="B72" s="1" t="n">
        <v>0</v>
      </c>
      <c r="C72" s="1" t="s">
        <v>60</v>
      </c>
      <c r="D72" s="23" t="n">
        <f aca="false">4-2.5</f>
        <v>1.5</v>
      </c>
      <c r="E72" s="22" t="n">
        <v>50</v>
      </c>
      <c r="F72" s="22" t="n">
        <v>0</v>
      </c>
      <c r="G72" s="24" t="n">
        <v>0</v>
      </c>
      <c r="J72" s="25" t="n">
        <v>45741.5319444445</v>
      </c>
      <c r="P72" s="34"/>
      <c r="Q72" s="34"/>
    </row>
    <row r="73" customFormat="false" ht="13.8" hidden="false" customHeight="false" outlineLevel="0" collapsed="false">
      <c r="F73" s="22" t="n">
        <v>1</v>
      </c>
      <c r="G73" s="24" t="n">
        <v>3420</v>
      </c>
      <c r="H73" s="24" t="n">
        <f aca="false">(G73-G72)/(F73-F72)</f>
        <v>3420</v>
      </c>
      <c r="P73" s="34"/>
      <c r="Q73" s="34"/>
    </row>
    <row r="74" customFormat="false" ht="13.8" hidden="false" customHeight="false" outlineLevel="0" collapsed="false">
      <c r="F74" s="22" t="n">
        <v>2</v>
      </c>
      <c r="G74" s="24" t="n">
        <v>6937</v>
      </c>
      <c r="H74" s="24" t="n">
        <f aca="false">(G74-G73)/(F74-F73)</f>
        <v>3517</v>
      </c>
      <c r="P74" s="34"/>
      <c r="Q74" s="34"/>
    </row>
    <row r="75" customFormat="false" ht="13.8" hidden="false" customHeight="false" outlineLevel="0" collapsed="false">
      <c r="F75" s="22" t="n">
        <v>3</v>
      </c>
      <c r="G75" s="24" t="n">
        <v>10460</v>
      </c>
      <c r="H75" s="24" t="n">
        <f aca="false">(G75-G74)/(F75-F74)</f>
        <v>3523</v>
      </c>
      <c r="P75" s="34"/>
      <c r="Q75" s="34"/>
    </row>
    <row r="76" customFormat="false" ht="13.8" hidden="false" customHeight="false" outlineLevel="0" collapsed="false">
      <c r="F76" s="22" t="n">
        <v>4</v>
      </c>
      <c r="G76" s="24" t="n">
        <v>14057</v>
      </c>
      <c r="H76" s="24" t="n">
        <f aca="false">(G76-G75)/(F76-F75)</f>
        <v>3597</v>
      </c>
      <c r="P76" s="34"/>
      <c r="Q76" s="34"/>
    </row>
    <row r="77" customFormat="false" ht="13.8" hidden="false" customHeight="false" outlineLevel="0" collapsed="false">
      <c r="F77" s="22" t="n">
        <v>5</v>
      </c>
      <c r="G77" s="24" t="n">
        <v>17720</v>
      </c>
      <c r="H77" s="24" t="n">
        <f aca="false">(G77-G76)/(F77-F76)</f>
        <v>3663</v>
      </c>
      <c r="P77" s="34"/>
      <c r="Q77" s="34"/>
    </row>
    <row r="78" customFormat="false" ht="13.8" hidden="false" customHeight="false" outlineLevel="0" collapsed="false">
      <c r="F78" s="22" t="n">
        <v>6</v>
      </c>
      <c r="G78" s="24" t="n">
        <v>21476</v>
      </c>
      <c r="H78" s="24" t="n">
        <f aca="false">(G78-G77)/(F78-F77)</f>
        <v>3756</v>
      </c>
      <c r="P78" s="34"/>
      <c r="Q78" s="34"/>
    </row>
    <row r="79" customFormat="false" ht="13.8" hidden="false" customHeight="false" outlineLevel="0" collapsed="false">
      <c r="F79" s="22" t="n">
        <v>7</v>
      </c>
      <c r="G79" s="24" t="n">
        <v>25126</v>
      </c>
      <c r="H79" s="24" t="n">
        <f aca="false">(G79-G78)/(F79-F78)</f>
        <v>3650</v>
      </c>
      <c r="P79" s="34"/>
      <c r="Q79" s="34"/>
    </row>
    <row r="80" customFormat="false" ht="13.8" hidden="false" customHeight="false" outlineLevel="0" collapsed="false">
      <c r="D80" s="23" t="n">
        <v>1.5</v>
      </c>
      <c r="E80" s="22" t="n">
        <v>49.7</v>
      </c>
      <c r="F80" s="22" t="n">
        <v>8</v>
      </c>
      <c r="G80" s="24" t="n">
        <v>28941</v>
      </c>
      <c r="H80" s="24" t="n">
        <f aca="false">(G80-G79)/(F80-F79)</f>
        <v>3815</v>
      </c>
      <c r="J80" s="37" t="s">
        <v>61</v>
      </c>
      <c r="K80" s="24" t="n">
        <v>497</v>
      </c>
      <c r="L80" s="31" t="n">
        <f aca="false">H80*0.000000001/60</f>
        <v>6.35833333333333E-008</v>
      </c>
      <c r="M80" s="35" t="n">
        <f aca="false">L80*(1+LN(D80/0.076))/(2*PI()*D80*E80)</f>
        <v>5.40592663720769E-010</v>
      </c>
      <c r="P80" s="34"/>
      <c r="Q80" s="34"/>
    </row>
    <row r="81" customFormat="false" ht="13.8" hidden="false" customHeight="false" outlineLevel="0" collapsed="false">
      <c r="D81" s="23" t="n">
        <v>1.5</v>
      </c>
      <c r="E81" s="22" t="n">
        <v>49.7</v>
      </c>
      <c r="F81" s="22" t="n">
        <v>10</v>
      </c>
      <c r="G81" s="24" t="n">
        <v>36760</v>
      </c>
      <c r="H81" s="24" t="n">
        <f aca="false">(G81-G80)/(F81-F80)</f>
        <v>3909.5</v>
      </c>
      <c r="J81" s="37" t="s">
        <v>62</v>
      </c>
      <c r="K81" s="24" t="n">
        <v>497</v>
      </c>
      <c r="L81" s="31" t="n">
        <f aca="false">H81*0.000000001/60</f>
        <v>6.51583333333333E-008</v>
      </c>
      <c r="M81" s="35" t="n">
        <f aca="false">L81*(1+LN(D81/0.076))/(2*PI()*D81*E81)</f>
        <v>5.53983491170733E-010</v>
      </c>
      <c r="P81" s="34"/>
      <c r="Q81" s="34"/>
    </row>
    <row r="82" customFormat="false" ht="13.8" hidden="false" customHeight="false" outlineLevel="0" collapsed="false">
      <c r="D82" s="23" t="n">
        <v>1.5</v>
      </c>
      <c r="E82" s="22" t="n">
        <v>49.7</v>
      </c>
      <c r="F82" s="22" t="n">
        <v>12</v>
      </c>
      <c r="G82" s="24" t="n">
        <v>44529</v>
      </c>
      <c r="H82" s="24" t="n">
        <f aca="false">(G82-G81)/(F82-F81)</f>
        <v>3884.5</v>
      </c>
      <c r="K82" s="24" t="n">
        <v>497</v>
      </c>
      <c r="L82" s="31" t="n">
        <f aca="false">H82*0.000000001/60</f>
        <v>6.47416666666667E-008</v>
      </c>
      <c r="M82" s="35" t="n">
        <f aca="false">L82*(1+LN(D82/0.076))/(2*PI()*D82*E82)</f>
        <v>5.50440944226298E-010</v>
      </c>
      <c r="P82" s="34"/>
      <c r="Q82" s="34"/>
    </row>
    <row r="83" customFormat="false" ht="13.8" hidden="false" customHeight="false" outlineLevel="0" collapsed="false">
      <c r="D83" s="23" t="n">
        <v>1.5</v>
      </c>
      <c r="E83" s="22" t="n">
        <v>49.7</v>
      </c>
      <c r="F83" s="22" t="n">
        <v>14</v>
      </c>
      <c r="G83" s="24" t="n">
        <v>52706</v>
      </c>
      <c r="H83" s="24" t="n">
        <f aca="false">(G83-G82)/(F83-F82)</f>
        <v>4088.5</v>
      </c>
      <c r="K83" s="24" t="n">
        <v>497</v>
      </c>
      <c r="L83" s="31" t="n">
        <f aca="false">H83*0.000000001/60</f>
        <v>6.81416666666667E-008</v>
      </c>
      <c r="M83" s="35" t="n">
        <f aca="false">L83*(1+LN(D83/0.076))/(2*PI()*D83*E83)</f>
        <v>5.79348127292887E-010</v>
      </c>
      <c r="N83" s="36" t="n">
        <f aca="false">AVERAGE(M80:M83)</f>
        <v>5.56091306602672E-010</v>
      </c>
      <c r="O83" s="22" t="n">
        <f aca="false">(MAX(L80:L83) - MIN(L80:L83))  / 3</f>
        <v>1.51944444444447E-009</v>
      </c>
      <c r="P83" s="34" t="n">
        <f aca="false">IF(Q83&lt;&gt;0, Q83, $R$4)</f>
        <v>0.0222983164159638</v>
      </c>
      <c r="Q83" s="34" t="n">
        <f aca="false">O83/L83</f>
        <v>0.0222983164159638</v>
      </c>
    </row>
    <row r="84" customFormat="false" ht="13.8" hidden="false" customHeight="false" outlineLevel="0" collapsed="false">
      <c r="A84" s="1" t="s">
        <v>14</v>
      </c>
      <c r="B84" s="1" t="n">
        <v>2</v>
      </c>
      <c r="C84" s="1" t="s">
        <v>63</v>
      </c>
      <c r="D84" s="23" t="n">
        <f aca="false">9.8-8</f>
        <v>1.8</v>
      </c>
      <c r="E84" s="22" t="n">
        <v>100</v>
      </c>
      <c r="F84" s="22" t="n">
        <v>0</v>
      </c>
      <c r="J84" s="25" t="n">
        <v>45741.4618055556</v>
      </c>
      <c r="P84" s="34"/>
      <c r="Q84" s="34"/>
    </row>
    <row r="85" customFormat="false" ht="13.8" hidden="false" customHeight="false" outlineLevel="0" collapsed="false">
      <c r="F85" s="22" t="n">
        <v>1</v>
      </c>
      <c r="G85" s="24" t="n">
        <v>326</v>
      </c>
      <c r="H85" s="24" t="n">
        <f aca="false">(G85-G84)/(F85-F84)</f>
        <v>326</v>
      </c>
      <c r="P85" s="34"/>
      <c r="Q85" s="34"/>
    </row>
    <row r="86" customFormat="false" ht="13.8" hidden="false" customHeight="false" outlineLevel="0" collapsed="false">
      <c r="F86" s="22" t="n">
        <v>3</v>
      </c>
      <c r="G86" s="24" t="n">
        <v>762</v>
      </c>
      <c r="H86" s="24" t="n">
        <f aca="false">(G86-G85)/(F86-F85)</f>
        <v>218</v>
      </c>
      <c r="P86" s="34"/>
      <c r="Q86" s="34"/>
    </row>
    <row r="87" customFormat="false" ht="13.8" hidden="false" customHeight="false" outlineLevel="0" collapsed="false">
      <c r="F87" s="22" t="n">
        <v>5</v>
      </c>
      <c r="G87" s="24" t="n">
        <v>1122</v>
      </c>
      <c r="H87" s="24" t="n">
        <f aca="false">(G87-G86)/(F87-F86)</f>
        <v>180</v>
      </c>
      <c r="P87" s="34"/>
      <c r="Q87" s="34"/>
    </row>
    <row r="88" customFormat="false" ht="13.8" hidden="false" customHeight="false" outlineLevel="0" collapsed="false">
      <c r="F88" s="22" t="n">
        <v>13</v>
      </c>
      <c r="G88" s="24" t="n">
        <v>2362</v>
      </c>
      <c r="H88" s="24" t="n">
        <f aca="false">(G88-G87)/(F88-F87)</f>
        <v>155</v>
      </c>
      <c r="P88" s="34"/>
      <c r="Q88" s="34"/>
    </row>
    <row r="89" customFormat="false" ht="13.8" hidden="false" customHeight="false" outlineLevel="0" collapsed="false">
      <c r="F89" s="22" t="n">
        <v>15</v>
      </c>
      <c r="G89" s="24" t="n">
        <v>2636</v>
      </c>
      <c r="H89" s="24" t="n">
        <f aca="false">(G89-G88)/(F89-F88)</f>
        <v>137</v>
      </c>
      <c r="P89" s="34"/>
      <c r="Q89" s="34"/>
    </row>
    <row r="90" customFormat="false" ht="13.8" hidden="false" customHeight="false" outlineLevel="0" collapsed="false">
      <c r="F90" s="22" t="n">
        <v>20</v>
      </c>
      <c r="G90" s="24" t="n">
        <v>3269</v>
      </c>
      <c r="H90" s="24" t="n">
        <f aca="false">(G90-G89)/(F90-F89)</f>
        <v>126.6</v>
      </c>
      <c r="P90" s="34"/>
      <c r="Q90" s="34"/>
    </row>
    <row r="91" customFormat="false" ht="13.8" hidden="false" customHeight="false" outlineLevel="0" collapsed="false">
      <c r="F91" s="22" t="n">
        <v>25</v>
      </c>
      <c r="G91" s="24" t="n">
        <v>3889</v>
      </c>
      <c r="H91" s="24" t="n">
        <f aca="false">(G91-G90)/(F91-F90)</f>
        <v>124</v>
      </c>
      <c r="P91" s="34"/>
      <c r="Q91" s="34"/>
    </row>
    <row r="92" customFormat="false" ht="13.8" hidden="false" customHeight="false" outlineLevel="0" collapsed="false">
      <c r="D92" s="23" t="n">
        <v>1.8</v>
      </c>
      <c r="E92" s="22" t="n">
        <v>95.3</v>
      </c>
      <c r="F92" s="22" t="n">
        <v>30</v>
      </c>
      <c r="G92" s="24" t="n">
        <v>4427</v>
      </c>
      <c r="H92" s="24" t="n">
        <f aca="false">(G92-G91)/(F92-F91)</f>
        <v>107.6</v>
      </c>
      <c r="K92" s="24" t="n">
        <v>953</v>
      </c>
      <c r="L92" s="31" t="n">
        <f aca="false">H92*0.000000001/60</f>
        <v>1.79333333333333E-009</v>
      </c>
      <c r="M92" s="35" t="n">
        <f aca="false">L92*(1+LN(D92/0.076))/(2*PI()*D92*E92)</f>
        <v>6.92964193864043E-012</v>
      </c>
      <c r="P92" s="34"/>
      <c r="Q92" s="34"/>
    </row>
    <row r="93" customFormat="false" ht="13.8" hidden="false" customHeight="false" outlineLevel="0" collapsed="false">
      <c r="D93" s="23" t="n">
        <v>1.8</v>
      </c>
      <c r="E93" s="22" t="n">
        <v>95.3</v>
      </c>
      <c r="F93" s="22" t="n">
        <v>35</v>
      </c>
      <c r="G93" s="24" t="n">
        <v>4931</v>
      </c>
      <c r="H93" s="24" t="n">
        <f aca="false">(G93-G92)/(F93-F92)</f>
        <v>100.8</v>
      </c>
      <c r="K93" s="24" t="n">
        <v>953</v>
      </c>
      <c r="L93" s="31" t="n">
        <f aca="false">H93*0.000000001/60</f>
        <v>1.68E-009</v>
      </c>
      <c r="M93" s="35" t="n">
        <f aca="false">L93*(1+LN(D93/0.076))/(2*PI()*D93*E93)</f>
        <v>6.49170917671892E-012</v>
      </c>
      <c r="N93" s="36" t="n">
        <f aca="false">AVERAGE(M92:M93)</f>
        <v>6.71067555767968E-012</v>
      </c>
      <c r="O93" s="22" t="n">
        <f aca="false">(MAX(L92:L93) - MIN(L92:L93))  / 3</f>
        <v>3.77777777777767E-011</v>
      </c>
      <c r="P93" s="34" t="n">
        <f aca="false">IF(Q93&lt;&gt;0, Q93, $R$4)</f>
        <v>0.0224867724867718</v>
      </c>
      <c r="Q93" s="34" t="n">
        <f aca="false">O93/L93</f>
        <v>0.0224867724867718</v>
      </c>
    </row>
    <row r="94" customFormat="false" ht="13.8" hidden="false" customHeight="false" outlineLevel="0" collapsed="false">
      <c r="A94" s="1" t="s">
        <v>14</v>
      </c>
      <c r="B94" s="1" t="n">
        <v>1</v>
      </c>
      <c r="C94" s="1" t="s">
        <v>64</v>
      </c>
      <c r="D94" s="23" t="n">
        <f aca="false">7.5-5.5</f>
        <v>2</v>
      </c>
      <c r="F94" s="22" t="n">
        <v>0</v>
      </c>
      <c r="G94" s="24" t="n">
        <v>0</v>
      </c>
      <c r="J94" s="25" t="n">
        <v>45742.4583333333</v>
      </c>
      <c r="P94" s="34"/>
      <c r="Q94" s="34"/>
    </row>
    <row r="95" customFormat="false" ht="13.8" hidden="false" customHeight="false" outlineLevel="0" collapsed="false">
      <c r="A95" s="1"/>
      <c r="B95" s="1"/>
      <c r="C95" s="1"/>
      <c r="F95" s="22" t="n">
        <v>0.5</v>
      </c>
      <c r="G95" s="24" t="n">
        <v>380000</v>
      </c>
      <c r="H95" s="24" t="n">
        <f aca="false">(G95-G94)/(F95-F94)</f>
        <v>760000</v>
      </c>
      <c r="I95" s="23" t="n">
        <v>8.5</v>
      </c>
      <c r="P95" s="34"/>
      <c r="Q95" s="34"/>
    </row>
    <row r="96" customFormat="false" ht="13.8" hidden="false" customHeight="false" outlineLevel="0" collapsed="false">
      <c r="A96" s="1"/>
      <c r="B96" s="1"/>
      <c r="C96" s="1"/>
      <c r="F96" s="22" t="n">
        <v>1</v>
      </c>
      <c r="G96" s="24" t="n">
        <v>760000</v>
      </c>
      <c r="H96" s="24" t="n">
        <f aca="false">(G96-G95)/(F96-F95)</f>
        <v>760000</v>
      </c>
      <c r="I96" s="23" t="n">
        <v>8.2</v>
      </c>
      <c r="P96" s="34"/>
      <c r="Q96" s="34"/>
    </row>
    <row r="97" customFormat="false" ht="13.8" hidden="false" customHeight="false" outlineLevel="0" collapsed="false">
      <c r="A97" s="1"/>
      <c r="B97" s="1"/>
      <c r="C97" s="1"/>
      <c r="F97" s="22" t="n">
        <v>1.5</v>
      </c>
      <c r="G97" s="24" t="n">
        <v>1120000</v>
      </c>
      <c r="H97" s="24" t="n">
        <f aca="false">(G97-G96)/(F97-F96)</f>
        <v>720000</v>
      </c>
      <c r="I97" s="23" t="n">
        <v>8</v>
      </c>
      <c r="P97" s="34"/>
      <c r="Q97" s="34"/>
    </row>
    <row r="98" customFormat="false" ht="13.8" hidden="false" customHeight="false" outlineLevel="0" collapsed="false">
      <c r="A98" s="1"/>
      <c r="B98" s="1"/>
      <c r="C98" s="1"/>
      <c r="F98" s="22" t="n">
        <v>2</v>
      </c>
      <c r="G98" s="24" t="n">
        <v>1460000</v>
      </c>
      <c r="H98" s="24" t="n">
        <f aca="false">(G98-G97)/(F98-F97)</f>
        <v>680000</v>
      </c>
      <c r="I98" s="23" t="n">
        <v>7.6</v>
      </c>
      <c r="P98" s="34"/>
      <c r="Q98" s="34"/>
    </row>
    <row r="99" customFormat="false" ht="13.8" hidden="false" customHeight="false" outlineLevel="0" collapsed="false">
      <c r="A99" s="1"/>
      <c r="B99" s="1"/>
      <c r="C99" s="1"/>
      <c r="F99" s="22" t="n">
        <v>2.5</v>
      </c>
      <c r="G99" s="24" t="n">
        <v>1810000</v>
      </c>
      <c r="H99" s="24" t="n">
        <f aca="false">(G99-G98)/(F99-F98)</f>
        <v>700000</v>
      </c>
      <c r="I99" s="23" t="n">
        <v>7.4</v>
      </c>
      <c r="P99" s="34"/>
      <c r="Q99" s="34"/>
    </row>
    <row r="100" customFormat="false" ht="13.8" hidden="false" customHeight="false" outlineLevel="0" collapsed="false">
      <c r="A100" s="1"/>
      <c r="B100" s="1"/>
      <c r="C100" s="1"/>
      <c r="F100" s="22" t="n">
        <v>3</v>
      </c>
      <c r="G100" s="24" t="n">
        <v>2140000</v>
      </c>
      <c r="H100" s="24" t="n">
        <f aca="false">(G100-G99)/(F100-F99)</f>
        <v>660000</v>
      </c>
      <c r="I100" s="23" t="n">
        <v>7.3</v>
      </c>
      <c r="P100" s="34"/>
      <c r="Q100" s="34"/>
    </row>
    <row r="101" customFormat="false" ht="13.8" hidden="false" customHeight="false" outlineLevel="0" collapsed="false">
      <c r="A101" s="1"/>
      <c r="B101" s="1"/>
      <c r="C101" s="1"/>
      <c r="F101" s="22" t="n">
        <v>3.5</v>
      </c>
      <c r="G101" s="24" t="n">
        <v>2460000</v>
      </c>
      <c r="H101" s="24" t="n">
        <f aca="false">(G101-G100)/(F101-F100)</f>
        <v>640000</v>
      </c>
      <c r="I101" s="23" t="n">
        <v>7.1</v>
      </c>
      <c r="P101" s="34"/>
      <c r="Q101" s="34"/>
    </row>
    <row r="102" customFormat="false" ht="13.8" hidden="false" customHeight="false" outlineLevel="0" collapsed="false">
      <c r="A102" s="1"/>
      <c r="B102" s="1"/>
      <c r="C102" s="1"/>
      <c r="F102" s="22" t="n">
        <v>4</v>
      </c>
      <c r="G102" s="24" t="n">
        <v>2780000</v>
      </c>
      <c r="H102" s="24" t="n">
        <f aca="false">(G102-G101)/(F102-F101)</f>
        <v>640000</v>
      </c>
      <c r="I102" s="23" t="n">
        <v>7</v>
      </c>
      <c r="P102" s="34"/>
      <c r="Q102" s="34"/>
    </row>
    <row r="103" customFormat="false" ht="13.8" hidden="false" customHeight="false" outlineLevel="0" collapsed="false">
      <c r="A103" s="1"/>
      <c r="B103" s="1"/>
      <c r="C103" s="1"/>
      <c r="F103" s="22" t="n">
        <v>4.5</v>
      </c>
      <c r="G103" s="24" t="n">
        <v>3090000</v>
      </c>
      <c r="H103" s="24" t="n">
        <f aca="false">(G103-G102)/(F103-F102)</f>
        <v>620000</v>
      </c>
      <c r="I103" s="23" t="n">
        <v>6.7</v>
      </c>
      <c r="P103" s="34"/>
      <c r="Q103" s="34"/>
    </row>
    <row r="104" customFormat="false" ht="13.8" hidden="false" customHeight="false" outlineLevel="0" collapsed="false">
      <c r="A104" s="1"/>
      <c r="B104" s="1"/>
      <c r="C104" s="1"/>
      <c r="F104" s="22" t="n">
        <v>5</v>
      </c>
      <c r="G104" s="24" t="n">
        <v>3390000</v>
      </c>
      <c r="H104" s="24" t="n">
        <f aca="false">(G104-G103)/(F104-F103)</f>
        <v>600000</v>
      </c>
      <c r="I104" s="23" t="n">
        <v>6.6</v>
      </c>
      <c r="P104" s="34"/>
      <c r="Q104" s="34"/>
    </row>
    <row r="105" customFormat="false" ht="13.8" hidden="false" customHeight="false" outlineLevel="0" collapsed="false">
      <c r="A105" s="1"/>
      <c r="B105" s="1"/>
      <c r="C105" s="1"/>
      <c r="F105" s="22" t="n">
        <v>5.5</v>
      </c>
      <c r="G105" s="24" t="n">
        <v>3680000</v>
      </c>
      <c r="H105" s="24" t="n">
        <f aca="false">(G105-G104)/(F105-F104)</f>
        <v>580000</v>
      </c>
      <c r="I105" s="23" t="n">
        <v>6.4</v>
      </c>
      <c r="P105" s="34"/>
      <c r="Q105" s="34"/>
    </row>
    <row r="106" customFormat="false" ht="13.8" hidden="false" customHeight="false" outlineLevel="0" collapsed="false">
      <c r="A106" s="1"/>
      <c r="B106" s="1"/>
      <c r="C106" s="1"/>
      <c r="F106" s="22" t="n">
        <v>6</v>
      </c>
      <c r="G106" s="24" t="n">
        <v>3900000</v>
      </c>
      <c r="H106" s="24" t="n">
        <f aca="false">(G106-G105)/(F106-F105)</f>
        <v>440000</v>
      </c>
      <c r="I106" s="23" t="n">
        <v>6.4</v>
      </c>
      <c r="P106" s="34"/>
      <c r="Q106" s="34"/>
    </row>
    <row r="107" customFormat="false" ht="13.8" hidden="false" customHeight="false" outlineLevel="0" collapsed="false">
      <c r="A107" s="1"/>
      <c r="B107" s="1"/>
      <c r="C107" s="1"/>
      <c r="F107" s="22" t="n">
        <v>6.5</v>
      </c>
      <c r="G107" s="24" t="n">
        <v>3970000</v>
      </c>
      <c r="H107" s="24" t="n">
        <f aca="false">(G107-G106)/(F107-F106)</f>
        <v>140000</v>
      </c>
      <c r="I107" s="23" t="n">
        <v>6.4</v>
      </c>
      <c r="P107" s="34"/>
      <c r="Q107" s="34"/>
    </row>
    <row r="108" customFormat="false" ht="13.8" hidden="false" customHeight="false" outlineLevel="0" collapsed="false">
      <c r="A108" s="1"/>
      <c r="B108" s="1"/>
      <c r="C108" s="1"/>
      <c r="F108" s="22" t="n">
        <v>7</v>
      </c>
      <c r="G108" s="24" t="n">
        <v>3990000</v>
      </c>
      <c r="H108" s="24" t="n">
        <f aca="false">(G108-G107)/(F108-F107)</f>
        <v>40000</v>
      </c>
      <c r="I108" s="23" t="n">
        <v>6.4</v>
      </c>
      <c r="P108" s="34"/>
      <c r="Q108" s="34"/>
    </row>
    <row r="109" customFormat="false" ht="13.8" hidden="false" customHeight="false" outlineLevel="0" collapsed="false">
      <c r="A109" s="1"/>
      <c r="B109" s="1"/>
      <c r="C109" s="1"/>
      <c r="F109" s="22" t="n">
        <v>8</v>
      </c>
      <c r="G109" s="24" t="n">
        <v>4020000</v>
      </c>
      <c r="H109" s="24" t="n">
        <f aca="false">(G109-G108)/(F109-F108)</f>
        <v>30000</v>
      </c>
      <c r="I109" s="23" t="n">
        <v>6.4</v>
      </c>
      <c r="P109" s="34"/>
      <c r="Q109" s="34"/>
    </row>
    <row r="110" customFormat="false" ht="13.8" hidden="false" customHeight="false" outlineLevel="0" collapsed="false">
      <c r="A110" s="1"/>
      <c r="B110" s="1"/>
      <c r="C110" s="1"/>
      <c r="F110" s="22" t="n">
        <v>9</v>
      </c>
      <c r="G110" s="24" t="n">
        <v>4050000</v>
      </c>
      <c r="H110" s="24" t="n">
        <f aca="false">(G110-G109)/(F110-F109)</f>
        <v>30000</v>
      </c>
      <c r="I110" s="23" t="n">
        <v>6.4</v>
      </c>
      <c r="P110" s="34"/>
      <c r="Q110" s="34"/>
    </row>
    <row r="111" customFormat="false" ht="13.8" hidden="false" customHeight="false" outlineLevel="0" collapsed="false">
      <c r="A111" s="1"/>
      <c r="B111" s="1"/>
      <c r="C111" s="1"/>
      <c r="D111" s="23" t="n">
        <v>2</v>
      </c>
      <c r="E111" s="22" t="n">
        <v>57.6</v>
      </c>
      <c r="F111" s="22" t="n">
        <v>10</v>
      </c>
      <c r="G111" s="24" t="n">
        <v>4070000</v>
      </c>
      <c r="H111" s="24" t="n">
        <f aca="false">(G111-G110)/(F111-F110)</f>
        <v>20000</v>
      </c>
      <c r="I111" s="23" t="n">
        <v>6.4</v>
      </c>
      <c r="K111" s="24" t="n">
        <v>576</v>
      </c>
      <c r="L111" s="31" t="n">
        <f aca="false">H111*0.000000001/60</f>
        <v>3.33333333333333E-007</v>
      </c>
      <c r="M111" s="35" t="n">
        <f aca="false">L111*(1+LN(D111/0.076))/(2*PI()*D111*E111)</f>
        <v>1.96648878231458E-009</v>
      </c>
      <c r="P111" s="34"/>
      <c r="Q111" s="34"/>
    </row>
    <row r="112" customFormat="false" ht="13.8" hidden="false" customHeight="false" outlineLevel="0" collapsed="false">
      <c r="A112" s="1"/>
      <c r="B112" s="1"/>
      <c r="C112" s="1"/>
      <c r="D112" s="23" t="n">
        <v>2</v>
      </c>
      <c r="E112" s="22" t="n">
        <v>57.6</v>
      </c>
      <c r="F112" s="22" t="n">
        <v>11</v>
      </c>
      <c r="G112" s="24" t="n">
        <v>4090000</v>
      </c>
      <c r="H112" s="24" t="n">
        <f aca="false">(G112-G111)/(F112-F111)</f>
        <v>20000</v>
      </c>
      <c r="I112" s="23" t="n">
        <v>6.4</v>
      </c>
      <c r="K112" s="24" t="n">
        <v>576</v>
      </c>
      <c r="L112" s="31" t="n">
        <f aca="false">H112*0.000000001/60</f>
        <v>3.33333333333333E-007</v>
      </c>
      <c r="M112" s="35" t="n">
        <f aca="false">L112*(1+LN(D112/0.076))/(2*PI()*D112*E112)</f>
        <v>1.96648878231458E-009</v>
      </c>
      <c r="N112" s="36" t="n">
        <f aca="false">AVERAGE(M111:M112)</f>
        <v>1.96648878231458E-009</v>
      </c>
      <c r="O112" s="22" t="n">
        <f aca="false">(MAX(L111:L112) - MIN(L111:L112))  / 3</f>
        <v>0</v>
      </c>
      <c r="P112" s="34" t="n">
        <f aca="false">IF(Q112&lt;&gt;0, Q112, $R$4)</f>
        <v>0.0253384766659097</v>
      </c>
      <c r="Q112" s="34" t="n">
        <f aca="false">O112/L112</f>
        <v>0</v>
      </c>
    </row>
    <row r="113" customFormat="false" ht="13.8" hidden="false" customHeight="false" outlineLevel="0" collapsed="false">
      <c r="A113" s="1" t="s">
        <v>14</v>
      </c>
      <c r="B113" s="1" t="n">
        <v>0</v>
      </c>
      <c r="C113" s="1" t="s">
        <v>65</v>
      </c>
      <c r="D113" s="23" t="n">
        <f aca="false">4.5-2</f>
        <v>2.5</v>
      </c>
      <c r="E113" s="22" t="n">
        <v>50</v>
      </c>
      <c r="F113" s="22" t="n">
        <v>0</v>
      </c>
      <c r="G113" s="24" t="n">
        <v>0</v>
      </c>
      <c r="J113" s="25" t="n">
        <v>45741.4965277778</v>
      </c>
      <c r="P113" s="34"/>
      <c r="Q113" s="34"/>
    </row>
    <row r="114" customFormat="false" ht="13.8" hidden="false" customHeight="false" outlineLevel="0" collapsed="false">
      <c r="F114" s="22" t="n">
        <v>2</v>
      </c>
      <c r="G114" s="24" t="n">
        <v>342</v>
      </c>
      <c r="H114" s="24" t="n">
        <f aca="false">(G114-G113)/(F114-F113)</f>
        <v>171</v>
      </c>
      <c r="P114" s="34"/>
      <c r="Q114" s="34"/>
    </row>
    <row r="115" customFormat="false" ht="13.8" hidden="false" customHeight="false" outlineLevel="0" collapsed="false">
      <c r="F115" s="22" t="n">
        <v>4</v>
      </c>
      <c r="G115" s="24" t="n">
        <v>582</v>
      </c>
      <c r="H115" s="24" t="n">
        <f aca="false">(G115-G114)/(F115-F114)</f>
        <v>120</v>
      </c>
      <c r="P115" s="34"/>
      <c r="Q115" s="34"/>
    </row>
    <row r="116" customFormat="false" ht="13.8" hidden="false" customHeight="false" outlineLevel="0" collapsed="false">
      <c r="F116" s="22" t="n">
        <v>5</v>
      </c>
      <c r="G116" s="24" t="n">
        <v>651</v>
      </c>
      <c r="H116" s="24" t="n">
        <f aca="false">(G116-G115)/(F116-F115)</f>
        <v>69</v>
      </c>
      <c r="P116" s="34"/>
      <c r="Q116" s="34"/>
    </row>
    <row r="117" customFormat="false" ht="13.8" hidden="false" customHeight="false" outlineLevel="0" collapsed="false">
      <c r="F117" s="22" t="n">
        <v>10</v>
      </c>
      <c r="G117" s="24" t="n">
        <v>1055</v>
      </c>
      <c r="H117" s="24" t="n">
        <f aca="false">(G117-G116)/(F117-F116)</f>
        <v>80.8</v>
      </c>
      <c r="P117" s="34"/>
      <c r="Q117" s="34"/>
    </row>
    <row r="118" customFormat="false" ht="13.8" hidden="false" customHeight="false" outlineLevel="0" collapsed="false">
      <c r="D118" s="23" t="n">
        <v>2.5</v>
      </c>
      <c r="E118" s="22" t="n">
        <v>46.9</v>
      </c>
      <c r="F118" s="22" t="n">
        <v>15</v>
      </c>
      <c r="G118" s="24" t="n">
        <v>1326</v>
      </c>
      <c r="H118" s="24" t="n">
        <f aca="false">(G118-G117)/(F118-F117)</f>
        <v>54.2</v>
      </c>
      <c r="K118" s="24" t="n">
        <v>469</v>
      </c>
      <c r="L118" s="31" t="n">
        <f aca="false">H118*0.000000001/60</f>
        <v>9.03333333333334E-010</v>
      </c>
      <c r="M118" s="35" t="n">
        <f aca="false">L118*(1+LN(D118/0.076))/(2*PI()*D118*E118)</f>
        <v>5.50962393644962E-012</v>
      </c>
      <c r="P118" s="34"/>
      <c r="Q118" s="34"/>
    </row>
    <row r="119" customFormat="false" ht="13.8" hidden="false" customHeight="false" outlineLevel="0" collapsed="false">
      <c r="D119" s="23" t="n">
        <v>2.5</v>
      </c>
      <c r="E119" s="22" t="n">
        <v>46.9</v>
      </c>
      <c r="F119" s="22" t="n">
        <v>20</v>
      </c>
      <c r="G119" s="24" t="n">
        <v>1608</v>
      </c>
      <c r="H119" s="24" t="n">
        <f aca="false">(G119-G118)/(F119-F118)</f>
        <v>56.4</v>
      </c>
      <c r="K119" s="24" t="n">
        <v>469</v>
      </c>
      <c r="L119" s="31" t="n">
        <f aca="false">H119*0.000000001/60</f>
        <v>9.4E-010</v>
      </c>
      <c r="M119" s="35" t="n">
        <f aca="false">L119*(1+LN(D119/0.076))/(2*PI()*D119*E119)</f>
        <v>5.73326180840883E-012</v>
      </c>
      <c r="P119" s="34"/>
      <c r="Q119" s="34"/>
    </row>
    <row r="120" customFormat="false" ht="13.8" hidden="false" customHeight="false" outlineLevel="0" collapsed="false">
      <c r="D120" s="23" t="n">
        <v>2.5</v>
      </c>
      <c r="E120" s="22" t="n">
        <v>46.9</v>
      </c>
      <c r="F120" s="22" t="n">
        <v>25</v>
      </c>
      <c r="G120" s="24" t="n">
        <v>1902</v>
      </c>
      <c r="H120" s="24" t="n">
        <f aca="false">(G120-G119)/(F120-F119)</f>
        <v>58.8</v>
      </c>
      <c r="K120" s="24" t="n">
        <v>469</v>
      </c>
      <c r="L120" s="31" t="n">
        <f aca="false">H120*0.000000001/60</f>
        <v>9.8E-010</v>
      </c>
      <c r="M120" s="35" t="n">
        <f aca="false">L120*(1+LN(D120/0.076))/(2*PI()*D120*E120)</f>
        <v>5.9772303960007E-012</v>
      </c>
      <c r="N120" s="36" t="n">
        <f aca="false">AVERAGE(M118:M120)</f>
        <v>5.74003871361972E-012</v>
      </c>
      <c r="O120" s="22" t="n">
        <f aca="false">(MAX(L118:L120) - MIN(L118:L120))  / 3</f>
        <v>2.55555555555553E-011</v>
      </c>
      <c r="P120" s="34" t="n">
        <f aca="false">IF(Q120&lt;&gt;0, Q120, $R$4)</f>
        <v>0.0260770975056687</v>
      </c>
      <c r="Q120" s="34" t="n">
        <f aca="false">O120/L120</f>
        <v>0.0260770975056687</v>
      </c>
    </row>
    <row r="121" customFormat="false" ht="13.8" hidden="false" customHeight="false" outlineLevel="0" collapsed="false">
      <c r="F121" s="22" t="n">
        <v>35</v>
      </c>
      <c r="G121" s="24" t="n">
        <v>2271</v>
      </c>
      <c r="H121" s="24" t="n">
        <f aca="false">(G121-G120)/(F121-F120)</f>
        <v>36.9</v>
      </c>
      <c r="P121" s="34"/>
      <c r="Q121" s="34"/>
    </row>
    <row r="122" customFormat="false" ht="13.8" hidden="false" customHeight="false" outlineLevel="0" collapsed="false">
      <c r="F122" s="22" t="n">
        <v>40</v>
      </c>
      <c r="G122" s="24" t="n">
        <v>2611</v>
      </c>
      <c r="H122" s="24" t="n">
        <f aca="false">(G122-G121)/(F122-F121)</f>
        <v>68</v>
      </c>
      <c r="P122" s="34"/>
      <c r="Q122" s="34"/>
    </row>
    <row r="123" customFormat="false" ht="13.8" hidden="false" customHeight="false" outlineLevel="0" collapsed="false">
      <c r="A123" s="1" t="s">
        <v>17</v>
      </c>
      <c r="B123" s="1" t="n">
        <v>2</v>
      </c>
      <c r="C123" s="1" t="s">
        <v>66</v>
      </c>
      <c r="D123" s="23" t="n">
        <f aca="false">14.3-12.5</f>
        <v>1.8</v>
      </c>
      <c r="E123" s="22" t="n">
        <v>50</v>
      </c>
      <c r="F123" s="22" t="n">
        <v>0</v>
      </c>
      <c r="G123" s="24" t="n">
        <v>0</v>
      </c>
      <c r="J123" s="25" t="n">
        <v>45741.5520833333</v>
      </c>
      <c r="P123" s="34"/>
      <c r="Q123" s="34"/>
    </row>
    <row r="124" customFormat="false" ht="13.8" hidden="false" customHeight="false" outlineLevel="0" collapsed="false">
      <c r="F124" s="22" t="n">
        <v>1</v>
      </c>
      <c r="G124" s="24" t="n">
        <v>155</v>
      </c>
      <c r="H124" s="24" t="n">
        <f aca="false">(G124-G123)/(F124-F123)</f>
        <v>155</v>
      </c>
      <c r="P124" s="34"/>
      <c r="Q124" s="34"/>
    </row>
    <row r="125" customFormat="false" ht="13.8" hidden="false" customHeight="false" outlineLevel="0" collapsed="false">
      <c r="F125" s="22" t="n">
        <v>2</v>
      </c>
      <c r="G125" s="24" t="n">
        <v>239</v>
      </c>
      <c r="H125" s="24" t="n">
        <f aca="false">(G125-G124)/(F125-F124)</f>
        <v>84</v>
      </c>
      <c r="P125" s="34"/>
      <c r="Q125" s="34"/>
    </row>
    <row r="126" customFormat="false" ht="13.8" hidden="false" customHeight="false" outlineLevel="0" collapsed="false">
      <c r="F126" s="22" t="n">
        <v>4</v>
      </c>
      <c r="G126" s="24" t="n">
        <v>312</v>
      </c>
      <c r="H126" s="24" t="n">
        <f aca="false">(G126-G125)/(F126-F125)</f>
        <v>36.5</v>
      </c>
      <c r="P126" s="34"/>
      <c r="Q126" s="34"/>
    </row>
    <row r="127" customFormat="false" ht="13.8" hidden="false" customHeight="false" outlineLevel="0" collapsed="false">
      <c r="F127" s="22" t="n">
        <v>6</v>
      </c>
      <c r="G127" s="24" t="n">
        <v>365</v>
      </c>
      <c r="H127" s="24" t="n">
        <f aca="false">(G127-G126)/(F127-F126)</f>
        <v>26.5</v>
      </c>
      <c r="P127" s="34"/>
      <c r="Q127" s="34"/>
    </row>
    <row r="128" customFormat="false" ht="13.8" hidden="false" customHeight="false" outlineLevel="0" collapsed="false">
      <c r="F128" s="22" t="n">
        <v>8</v>
      </c>
      <c r="G128" s="24" t="n">
        <v>409</v>
      </c>
      <c r="H128" s="24" t="n">
        <f aca="false">(G128-G127)/(F128-F127)</f>
        <v>22</v>
      </c>
      <c r="P128" s="34"/>
      <c r="Q128" s="34"/>
    </row>
    <row r="129" customFormat="false" ht="13.8" hidden="false" customHeight="false" outlineLevel="0" collapsed="false">
      <c r="F129" s="22" t="n">
        <v>10</v>
      </c>
      <c r="G129" s="24" t="n">
        <v>450</v>
      </c>
      <c r="H129" s="24" t="n">
        <f aca="false">(G129-G128)/(F129-F128)</f>
        <v>20.5</v>
      </c>
      <c r="P129" s="34"/>
      <c r="Q129" s="34"/>
    </row>
    <row r="130" customFormat="false" ht="13.8" hidden="false" customHeight="false" outlineLevel="0" collapsed="false">
      <c r="F130" s="22" t="n">
        <v>12</v>
      </c>
      <c r="G130" s="24" t="n">
        <v>475</v>
      </c>
      <c r="H130" s="24" t="n">
        <f aca="false">(G130-G129)/(F130-F129)</f>
        <v>12.5</v>
      </c>
      <c r="P130" s="34"/>
      <c r="Q130" s="34"/>
    </row>
    <row r="131" customFormat="false" ht="13.8" hidden="false" customHeight="false" outlineLevel="0" collapsed="false">
      <c r="F131" s="22" t="n">
        <v>14</v>
      </c>
      <c r="G131" s="24" t="n">
        <v>510</v>
      </c>
      <c r="H131" s="24" t="n">
        <f aca="false">(G131-G130)/(F131-F130)</f>
        <v>17.5</v>
      </c>
      <c r="P131" s="34"/>
      <c r="Q131" s="34"/>
    </row>
    <row r="132" customFormat="false" ht="13.8" hidden="false" customHeight="false" outlineLevel="0" collapsed="false">
      <c r="D132" s="23" t="n">
        <v>1.8</v>
      </c>
      <c r="E132" s="22" t="n">
        <v>47.4</v>
      </c>
      <c r="F132" s="22" t="n">
        <v>16</v>
      </c>
      <c r="G132" s="24" t="n">
        <v>539</v>
      </c>
      <c r="H132" s="24" t="n">
        <f aca="false">(G132-G131)/(F132-F131)</f>
        <v>14.5</v>
      </c>
      <c r="K132" s="24" t="n">
        <v>474</v>
      </c>
      <c r="L132" s="31" t="n">
        <f aca="false">H132*0.000000001/60</f>
        <v>2.41666666666667E-010</v>
      </c>
      <c r="M132" s="35" t="n">
        <f aca="false">L132*(1+LN(D132/0.076))/(2*PI()*D132*E132)</f>
        <v>1.87750492386834E-012</v>
      </c>
      <c r="P132" s="34"/>
      <c r="Q132" s="34"/>
    </row>
    <row r="133" customFormat="false" ht="13.8" hidden="false" customHeight="false" outlineLevel="0" collapsed="false">
      <c r="D133" s="23" t="n">
        <v>1.8</v>
      </c>
      <c r="E133" s="22" t="n">
        <v>47.4</v>
      </c>
      <c r="F133" s="22" t="n">
        <v>18</v>
      </c>
      <c r="G133" s="24" t="n">
        <v>570</v>
      </c>
      <c r="H133" s="24" t="n">
        <f aca="false">(G133-G132)/(F133-F132)</f>
        <v>15.5</v>
      </c>
      <c r="K133" s="24" t="n">
        <v>474</v>
      </c>
      <c r="L133" s="31" t="n">
        <f aca="false">H133*0.000000001/60</f>
        <v>2.58333333333333E-010</v>
      </c>
      <c r="M133" s="35" t="n">
        <f aca="false">L133*(1+LN(D133/0.076))/(2*PI()*D133*E133)</f>
        <v>2.00698802206616E-012</v>
      </c>
      <c r="P133" s="34"/>
      <c r="Q133" s="34"/>
    </row>
    <row r="134" customFormat="false" ht="13.8" hidden="false" customHeight="false" outlineLevel="0" collapsed="false">
      <c r="D134" s="23" t="n">
        <v>1.8</v>
      </c>
      <c r="E134" s="22" t="n">
        <v>47.4</v>
      </c>
      <c r="F134" s="22" t="n">
        <v>20</v>
      </c>
      <c r="G134" s="24" t="n">
        <v>597</v>
      </c>
      <c r="H134" s="24" t="n">
        <f aca="false">(G134-G133)/(F134-F133)</f>
        <v>13.5</v>
      </c>
      <c r="K134" s="24" t="n">
        <v>474</v>
      </c>
      <c r="L134" s="31" t="n">
        <f aca="false">H134*0.000000001/60</f>
        <v>2.25E-010</v>
      </c>
      <c r="M134" s="35" t="n">
        <f aca="false">L134*(1+LN(D134/0.076))/(2*PI()*D134*E134)</f>
        <v>1.74802182567053E-012</v>
      </c>
      <c r="P134" s="34"/>
      <c r="Q134" s="34"/>
    </row>
    <row r="135" customFormat="false" ht="13.8" hidden="false" customHeight="false" outlineLevel="0" collapsed="false">
      <c r="D135" s="23" t="n">
        <v>1.8</v>
      </c>
      <c r="E135" s="22" t="n">
        <v>47.4</v>
      </c>
      <c r="F135" s="22" t="n">
        <v>22</v>
      </c>
      <c r="G135" s="24" t="n">
        <v>623</v>
      </c>
      <c r="H135" s="24" t="n">
        <f aca="false">(G135-G134)/(F135-F134)</f>
        <v>13</v>
      </c>
      <c r="K135" s="24" t="n">
        <v>474</v>
      </c>
      <c r="L135" s="31" t="n">
        <f aca="false">H135*0.000000001/60</f>
        <v>2.16666666666667E-010</v>
      </c>
      <c r="M135" s="35" t="n">
        <f aca="false">L135*(1+LN(D135/0.076))/(2*PI()*D135*E135)</f>
        <v>1.68328027657162E-012</v>
      </c>
      <c r="N135" s="36" t="n">
        <f aca="false">AVERAGE(M132:M135)</f>
        <v>1.82894876204416E-012</v>
      </c>
      <c r="O135" s="22" t="n">
        <f aca="false">(MAX(L132:L135) - MIN(L132:L135))  / 3</f>
        <v>1.38888888888887E-011</v>
      </c>
      <c r="P135" s="34" t="n">
        <f aca="false">IF(Q135&lt;&gt;0, Q135, $R$4)</f>
        <v>0.0641025641025631</v>
      </c>
      <c r="Q135" s="34" t="n">
        <f aca="false">O135/L135</f>
        <v>0.0641025641025631</v>
      </c>
    </row>
    <row r="136" customFormat="false" ht="13.8" hidden="false" customHeight="false" outlineLevel="0" collapsed="false">
      <c r="A136" s="1" t="s">
        <v>17</v>
      </c>
      <c r="B136" s="1" t="n">
        <v>1</v>
      </c>
      <c r="C136" s="1" t="s">
        <v>67</v>
      </c>
      <c r="D136" s="23" t="n">
        <f aca="false">11.5-9</f>
        <v>2.5</v>
      </c>
      <c r="E136" s="22" t="n">
        <v>50</v>
      </c>
      <c r="F136" s="22" t="n">
        <v>0</v>
      </c>
      <c r="G136" s="24" t="n">
        <v>0</v>
      </c>
      <c r="J136" s="25" t="n">
        <v>45741.5715277778</v>
      </c>
      <c r="P136" s="34"/>
      <c r="Q136" s="34"/>
    </row>
    <row r="137" customFormat="false" ht="13.8" hidden="false" customHeight="false" outlineLevel="0" collapsed="false">
      <c r="F137" s="22" t="n">
        <v>1</v>
      </c>
      <c r="G137" s="24" t="n">
        <v>771</v>
      </c>
      <c r="H137" s="24" t="n">
        <f aca="false">(G137-G136)/(F137-F136)</f>
        <v>771</v>
      </c>
      <c r="P137" s="34"/>
      <c r="Q137" s="34"/>
    </row>
    <row r="138" customFormat="false" ht="13.8" hidden="false" customHeight="false" outlineLevel="0" collapsed="false">
      <c r="F138" s="22" t="n">
        <v>2</v>
      </c>
      <c r="G138" s="24" t="n">
        <v>1493</v>
      </c>
      <c r="H138" s="24" t="n">
        <f aca="false">(G138-G137)/(F138-F137)</f>
        <v>722</v>
      </c>
      <c r="P138" s="34"/>
      <c r="Q138" s="34"/>
    </row>
    <row r="139" customFormat="false" ht="13.8" hidden="false" customHeight="false" outlineLevel="0" collapsed="false">
      <c r="F139" s="22" t="n">
        <v>3</v>
      </c>
      <c r="G139" s="24" t="n">
        <v>2142</v>
      </c>
      <c r="H139" s="24" t="n">
        <f aca="false">(G139-G138)/(F139-F138)</f>
        <v>649</v>
      </c>
      <c r="P139" s="34"/>
      <c r="Q139" s="34"/>
    </row>
    <row r="140" customFormat="false" ht="13.8" hidden="false" customHeight="false" outlineLevel="0" collapsed="false">
      <c r="F140" s="22" t="n">
        <v>4</v>
      </c>
      <c r="G140" s="24" t="n">
        <v>2762</v>
      </c>
      <c r="H140" s="24" t="n">
        <f aca="false">(G140-G139)/(F140-F139)</f>
        <v>620</v>
      </c>
      <c r="P140" s="34"/>
      <c r="Q140" s="34"/>
    </row>
    <row r="141" customFormat="false" ht="13.8" hidden="false" customHeight="false" outlineLevel="0" collapsed="false">
      <c r="F141" s="22" t="n">
        <v>5</v>
      </c>
      <c r="G141" s="24" t="n">
        <v>3312</v>
      </c>
      <c r="H141" s="24" t="n">
        <f aca="false">(G141-G140)/(F141-F140)</f>
        <v>550</v>
      </c>
      <c r="P141" s="34"/>
      <c r="Q141" s="34"/>
    </row>
    <row r="142" customFormat="false" ht="13.8" hidden="false" customHeight="false" outlineLevel="0" collapsed="false">
      <c r="F142" s="22" t="n">
        <v>6</v>
      </c>
      <c r="G142" s="24" t="n">
        <v>3836</v>
      </c>
      <c r="H142" s="24" t="n">
        <f aca="false">(G142-G141)/(F142-F141)</f>
        <v>524</v>
      </c>
      <c r="P142" s="34"/>
      <c r="Q142" s="34"/>
    </row>
    <row r="143" customFormat="false" ht="13.8" hidden="false" customHeight="false" outlineLevel="0" collapsed="false">
      <c r="F143" s="22" t="n">
        <v>7</v>
      </c>
      <c r="G143" s="24" t="n">
        <v>4372</v>
      </c>
      <c r="H143" s="24" t="n">
        <f aca="false">(G143-G142)/(F143-F142)</f>
        <v>536</v>
      </c>
      <c r="P143" s="34"/>
      <c r="Q143" s="34"/>
    </row>
    <row r="144" customFormat="false" ht="13.8" hidden="false" customHeight="false" outlineLevel="0" collapsed="false">
      <c r="F144" s="22" t="n">
        <v>8</v>
      </c>
      <c r="G144" s="24" t="n">
        <v>4864</v>
      </c>
      <c r="H144" s="24" t="n">
        <f aca="false">(G144-G143)/(F144-F143)</f>
        <v>492</v>
      </c>
      <c r="P144" s="34"/>
      <c r="Q144" s="34"/>
    </row>
    <row r="145" customFormat="false" ht="13.8" hidden="false" customHeight="false" outlineLevel="0" collapsed="false">
      <c r="D145" s="23" t="n">
        <v>2.5</v>
      </c>
      <c r="E145" s="22" t="n">
        <v>47.9</v>
      </c>
      <c r="F145" s="22" t="n">
        <v>9</v>
      </c>
      <c r="G145" s="24" t="n">
        <v>5308</v>
      </c>
      <c r="H145" s="24" t="n">
        <f aca="false">(G145-G144)/(F145-F144)</f>
        <v>444</v>
      </c>
      <c r="K145" s="24" t="n">
        <v>479</v>
      </c>
      <c r="L145" s="31" t="n">
        <f aca="false">H145*0.000000001/60</f>
        <v>7.4E-009</v>
      </c>
      <c r="M145" s="35" t="n">
        <f aca="false">L145*(1+LN(D145/0.076))/(2*PI()*D145*E145)</f>
        <v>4.4191930067658E-011</v>
      </c>
      <c r="P145" s="34"/>
      <c r="Q145" s="34"/>
    </row>
    <row r="146" customFormat="false" ht="13.8" hidden="false" customHeight="false" outlineLevel="0" collapsed="false">
      <c r="D146" s="23" t="n">
        <v>2.5</v>
      </c>
      <c r="E146" s="22" t="n">
        <v>47.9</v>
      </c>
      <c r="F146" s="22" t="n">
        <v>10</v>
      </c>
      <c r="G146" s="24" t="n">
        <v>5782</v>
      </c>
      <c r="H146" s="24" t="n">
        <f aca="false">(G146-G145)/(F146-F145)</f>
        <v>474</v>
      </c>
      <c r="K146" s="24" t="n">
        <v>479</v>
      </c>
      <c r="L146" s="31" t="n">
        <f aca="false">H146*0.000000001/60</f>
        <v>7.9E-009</v>
      </c>
      <c r="M146" s="35" t="n">
        <f aca="false">L146*(1+LN(D146/0.076))/(2*PI()*D146*E146)</f>
        <v>4.71778712884457E-011</v>
      </c>
      <c r="P146" s="34"/>
      <c r="Q146" s="34"/>
    </row>
    <row r="147" customFormat="false" ht="13.8" hidden="false" customHeight="false" outlineLevel="0" collapsed="false">
      <c r="D147" s="23" t="n">
        <v>2.5</v>
      </c>
      <c r="E147" s="22" t="n">
        <v>47.9</v>
      </c>
      <c r="F147" s="22" t="n">
        <v>11</v>
      </c>
      <c r="G147" s="24" t="n">
        <v>6216</v>
      </c>
      <c r="H147" s="24" t="n">
        <f aca="false">(G147-G146)/(F147-F146)</f>
        <v>434</v>
      </c>
      <c r="K147" s="24" t="n">
        <v>479</v>
      </c>
      <c r="L147" s="31" t="n">
        <f aca="false">H147*0.000000001/60</f>
        <v>7.23333333333333E-009</v>
      </c>
      <c r="M147" s="35" t="n">
        <f aca="false">L147*(1+LN(D147/0.076))/(2*PI()*D147*E147)</f>
        <v>4.31966163273954E-011</v>
      </c>
      <c r="P147" s="34"/>
      <c r="Q147" s="34"/>
    </row>
    <row r="148" customFormat="false" ht="13.8" hidden="false" customHeight="false" outlineLevel="0" collapsed="false">
      <c r="D148" s="23" t="n">
        <v>2.5</v>
      </c>
      <c r="E148" s="22" t="n">
        <v>47.9</v>
      </c>
      <c r="F148" s="22" t="n">
        <v>12</v>
      </c>
      <c r="G148" s="24" t="n">
        <v>6671</v>
      </c>
      <c r="H148" s="24" t="n">
        <f aca="false">(G148-G147)/(F148-F147)</f>
        <v>455</v>
      </c>
      <c r="K148" s="24" t="n">
        <v>479</v>
      </c>
      <c r="L148" s="31" t="n">
        <f aca="false">H148*0.000000001/60</f>
        <v>7.58333333333333E-009</v>
      </c>
      <c r="M148" s="35" t="n">
        <f aca="false">L148*(1+LN(D148/0.076))/(2*PI()*D148*E148)</f>
        <v>4.52867751819468E-011</v>
      </c>
      <c r="N148" s="36" t="n">
        <f aca="false">AVERAGE(M145:M148)</f>
        <v>4.49632982163615E-011</v>
      </c>
      <c r="O148" s="22" t="n">
        <f aca="false">(MAX(L145:L148) - MIN(L145:L148))  / 3</f>
        <v>2.22222222222223E-010</v>
      </c>
      <c r="P148" s="34" t="n">
        <f aca="false">IF(Q148&lt;&gt;0, Q148, $R$4)</f>
        <v>0.0293040293040294</v>
      </c>
      <c r="Q148" s="34" t="n">
        <f aca="false">O148/L148</f>
        <v>0.0293040293040294</v>
      </c>
    </row>
    <row r="149" customFormat="false" ht="13.8" hidden="false" customHeight="false" outlineLevel="0" collapsed="false">
      <c r="A149" s="1" t="s">
        <v>17</v>
      </c>
      <c r="B149" s="1" t="n">
        <v>0</v>
      </c>
      <c r="C149" s="1" t="s">
        <v>68</v>
      </c>
      <c r="D149" s="23" t="n">
        <f aca="false">8-5</f>
        <v>3</v>
      </c>
      <c r="E149" s="22" t="n">
        <v>50</v>
      </c>
      <c r="F149" s="22" t="n">
        <v>0</v>
      </c>
      <c r="G149" s="24" t="n">
        <v>0</v>
      </c>
      <c r="J149" s="25" t="n">
        <v>45741.5819444444</v>
      </c>
      <c r="P149" s="34"/>
      <c r="Q149" s="34"/>
    </row>
    <row r="150" customFormat="false" ht="13.8" hidden="false" customHeight="false" outlineLevel="0" collapsed="false">
      <c r="F150" s="22" t="n">
        <v>1</v>
      </c>
      <c r="G150" s="24" t="n">
        <v>184</v>
      </c>
      <c r="H150" s="24" t="n">
        <f aca="false">(G150-G149)/(F150-F149)</f>
        <v>184</v>
      </c>
      <c r="P150" s="34"/>
      <c r="Q150" s="34"/>
    </row>
    <row r="151" customFormat="false" ht="13.8" hidden="false" customHeight="false" outlineLevel="0" collapsed="false">
      <c r="F151" s="22" t="n">
        <v>2</v>
      </c>
      <c r="G151" s="24" t="n">
        <v>342</v>
      </c>
      <c r="H151" s="24" t="n">
        <f aca="false">(G151-G150)/(F151-F150)</f>
        <v>158</v>
      </c>
      <c r="P151" s="34"/>
      <c r="Q151" s="34"/>
    </row>
    <row r="152" customFormat="false" ht="13.8" hidden="false" customHeight="false" outlineLevel="0" collapsed="false">
      <c r="F152" s="22" t="n">
        <v>3</v>
      </c>
      <c r="G152" s="24" t="n">
        <v>439</v>
      </c>
      <c r="H152" s="24" t="n">
        <f aca="false">(G152-G151)/(F152-F151)</f>
        <v>97</v>
      </c>
      <c r="P152" s="34"/>
      <c r="Q152" s="34"/>
    </row>
    <row r="153" customFormat="false" ht="13.8" hidden="false" customHeight="false" outlineLevel="0" collapsed="false">
      <c r="F153" s="22" t="n">
        <v>4</v>
      </c>
      <c r="G153" s="24" t="n">
        <v>539</v>
      </c>
      <c r="H153" s="24" t="n">
        <f aca="false">(G153-G152)/(F153-F152)</f>
        <v>100</v>
      </c>
      <c r="P153" s="34"/>
      <c r="Q153" s="34"/>
    </row>
    <row r="154" customFormat="false" ht="13.8" hidden="false" customHeight="false" outlineLevel="0" collapsed="false">
      <c r="F154" s="22" t="n">
        <v>5</v>
      </c>
      <c r="G154" s="24" t="n">
        <v>639</v>
      </c>
      <c r="H154" s="24" t="n">
        <f aca="false">(G154-G153)/(F154-F153)</f>
        <v>100</v>
      </c>
      <c r="P154" s="34"/>
      <c r="Q154" s="34"/>
    </row>
    <row r="155" customFormat="false" ht="13.8" hidden="false" customHeight="false" outlineLevel="0" collapsed="false">
      <c r="F155" s="22" t="n">
        <v>6</v>
      </c>
      <c r="G155" s="24" t="n">
        <v>719</v>
      </c>
      <c r="H155" s="24" t="n">
        <f aca="false">(G155-G154)/(F155-F154)</f>
        <v>80</v>
      </c>
      <c r="P155" s="34"/>
      <c r="Q155" s="34"/>
    </row>
    <row r="156" customFormat="false" ht="13.8" hidden="false" customHeight="false" outlineLevel="0" collapsed="false">
      <c r="D156" s="23" t="n">
        <v>3</v>
      </c>
      <c r="E156" s="22" t="n">
        <v>48</v>
      </c>
      <c r="F156" s="22" t="n">
        <v>7</v>
      </c>
      <c r="G156" s="24" t="n">
        <v>765</v>
      </c>
      <c r="H156" s="24" t="n">
        <f aca="false">(G156-G155)/(F156-F155)</f>
        <v>46</v>
      </c>
      <c r="K156" s="24" t="n">
        <v>480</v>
      </c>
      <c r="L156" s="31" t="n">
        <f aca="false">H156*0.000000001/60</f>
        <v>7.66666666666667E-010</v>
      </c>
      <c r="M156" s="35" t="n">
        <f aca="false">L156*(1+LN(D156/0.076))/(2*PI()*D156*E156)</f>
        <v>3.96191131611489E-012</v>
      </c>
      <c r="P156" s="34"/>
      <c r="Q156" s="34"/>
    </row>
    <row r="157" customFormat="false" ht="13.8" hidden="false" customHeight="false" outlineLevel="0" collapsed="false">
      <c r="D157" s="23" t="n">
        <v>3</v>
      </c>
      <c r="E157" s="22" t="n">
        <v>48</v>
      </c>
      <c r="F157" s="22" t="n">
        <v>8</v>
      </c>
      <c r="G157" s="24" t="n">
        <v>819</v>
      </c>
      <c r="H157" s="24" t="n">
        <f aca="false">(G157-G156)/(F157-F156)</f>
        <v>54</v>
      </c>
      <c r="K157" s="24" t="n">
        <v>480</v>
      </c>
      <c r="L157" s="31" t="n">
        <f aca="false">H157*0.000000001/60</f>
        <v>9E-010</v>
      </c>
      <c r="M157" s="35" t="n">
        <f aca="false">L157*(1+LN(D157/0.076))/(2*PI()*D157*E157)</f>
        <v>4.65093937109139E-012</v>
      </c>
      <c r="P157" s="34"/>
      <c r="Q157" s="34"/>
    </row>
    <row r="158" customFormat="false" ht="13.8" hidden="false" customHeight="false" outlineLevel="0" collapsed="false">
      <c r="D158" s="23" t="n">
        <v>3</v>
      </c>
      <c r="E158" s="22" t="n">
        <v>48</v>
      </c>
      <c r="F158" s="22" t="n">
        <v>10</v>
      </c>
      <c r="G158" s="24" t="n">
        <v>958</v>
      </c>
      <c r="H158" s="24" t="n">
        <f aca="false">(G158-G157)/(F158-F157)</f>
        <v>69.5</v>
      </c>
      <c r="K158" s="24" t="n">
        <v>480</v>
      </c>
      <c r="L158" s="31" t="n">
        <f aca="false">H158*0.000000001/60</f>
        <v>1.15833333333333E-009</v>
      </c>
      <c r="M158" s="35" t="n">
        <f aca="false">L158*(1+LN(D158/0.076))/(2*PI()*D158*E158)</f>
        <v>5.98593122760836E-012</v>
      </c>
      <c r="P158" s="34"/>
      <c r="Q158" s="34"/>
    </row>
    <row r="159" customFormat="false" ht="13.8" hidden="false" customHeight="false" outlineLevel="0" collapsed="false">
      <c r="D159" s="23" t="n">
        <v>3</v>
      </c>
      <c r="E159" s="22" t="n">
        <v>48</v>
      </c>
      <c r="F159" s="22" t="n">
        <v>15</v>
      </c>
      <c r="G159" s="24" t="n">
        <v>1218</v>
      </c>
      <c r="H159" s="24" t="n">
        <f aca="false">(G159-G158)/(F159-F158)</f>
        <v>52</v>
      </c>
      <c r="K159" s="24" t="n">
        <v>480</v>
      </c>
      <c r="L159" s="31" t="n">
        <f aca="false">H159*0.000000001/60</f>
        <v>8.66666666666667E-010</v>
      </c>
      <c r="M159" s="35" t="n">
        <f aca="false">L159*(1+LN(D159/0.076))/(2*PI()*D159*E159)</f>
        <v>4.47868235734726E-012</v>
      </c>
      <c r="P159" s="34"/>
      <c r="Q159" s="34"/>
    </row>
    <row r="160" customFormat="false" ht="13.8" hidden="false" customHeight="false" outlineLevel="0" collapsed="false">
      <c r="D160" s="23" t="n">
        <v>3</v>
      </c>
      <c r="E160" s="22" t="n">
        <v>48</v>
      </c>
      <c r="F160" s="22" t="n">
        <v>26</v>
      </c>
      <c r="G160" s="24" t="n">
        <v>1650</v>
      </c>
      <c r="H160" s="24" t="n">
        <f aca="false">(G160-G159)/(F160-F159)</f>
        <v>39.2727272727273</v>
      </c>
      <c r="K160" s="24" t="n">
        <v>480</v>
      </c>
      <c r="L160" s="31" t="n">
        <f aca="false">H160*0.000000001/60</f>
        <v>6.54545454545455E-010</v>
      </c>
      <c r="M160" s="35" t="n">
        <f aca="false">L160*(1+LN(D160/0.076))/(2*PI()*D160*E160)</f>
        <v>3.38250136079374E-012</v>
      </c>
      <c r="N160" s="36" t="n">
        <f aca="false">AVERAGE(M156:M160)</f>
        <v>4.49199312659113E-012</v>
      </c>
      <c r="O160" s="22" t="n">
        <f aca="false">(MAX(L156:L160) - MIN(L156:L160))  / 3</f>
        <v>1.67929292929292E-010</v>
      </c>
      <c r="P160" s="34" t="n">
        <f aca="false">IF(Q160&lt;&gt;0, Q160, $R$4)</f>
        <v>0.256558641975307</v>
      </c>
      <c r="Q160" s="34" t="n">
        <f aca="false">O160/L160</f>
        <v>0.256558641975307</v>
      </c>
    </row>
    <row r="161" customFormat="false" ht="13.8" hidden="false" customHeight="false" outlineLevel="0" collapsed="false">
      <c r="A161" s="1" t="s">
        <v>26</v>
      </c>
      <c r="B161" s="1" t="n">
        <v>2</v>
      </c>
      <c r="C161" s="1" t="s">
        <v>69</v>
      </c>
      <c r="D161" s="23" t="n">
        <f aca="false">12-9.5</f>
        <v>2.5</v>
      </c>
      <c r="E161" s="22" t="n">
        <v>50</v>
      </c>
      <c r="F161" s="22" t="n">
        <v>0</v>
      </c>
      <c r="G161" s="24" t="n">
        <v>0</v>
      </c>
      <c r="J161" s="25" t="n">
        <v>45741.61875</v>
      </c>
      <c r="P161" s="34"/>
      <c r="Q161" s="34"/>
    </row>
    <row r="162" customFormat="false" ht="13.8" hidden="false" customHeight="false" outlineLevel="0" collapsed="false">
      <c r="F162" s="22" t="n">
        <v>2</v>
      </c>
      <c r="G162" s="24" t="n">
        <v>489</v>
      </c>
      <c r="H162" s="24" t="n">
        <f aca="false">(G162-G161)/(F162-F161)</f>
        <v>244.5</v>
      </c>
      <c r="P162" s="34"/>
      <c r="Q162" s="34"/>
    </row>
    <row r="163" customFormat="false" ht="13.8" hidden="false" customHeight="false" outlineLevel="0" collapsed="false">
      <c r="F163" s="22" t="n">
        <v>4</v>
      </c>
      <c r="G163" s="24" t="n">
        <v>865</v>
      </c>
      <c r="H163" s="24" t="n">
        <f aca="false">(G163-G162)/(F163-F162)</f>
        <v>188</v>
      </c>
      <c r="P163" s="34"/>
      <c r="Q163" s="34"/>
    </row>
    <row r="164" customFormat="false" ht="13.8" hidden="false" customHeight="false" outlineLevel="0" collapsed="false">
      <c r="F164" s="22" t="n">
        <v>6</v>
      </c>
      <c r="G164" s="24" t="n">
        <v>1218</v>
      </c>
      <c r="H164" s="24" t="n">
        <f aca="false">(G164-G163)/(F164-F163)</f>
        <v>176.5</v>
      </c>
      <c r="P164" s="34"/>
      <c r="Q164" s="34"/>
    </row>
    <row r="165" customFormat="false" ht="13.8" hidden="false" customHeight="false" outlineLevel="0" collapsed="false">
      <c r="F165" s="22" t="n">
        <v>10</v>
      </c>
      <c r="G165" s="24" t="n">
        <v>1787</v>
      </c>
      <c r="H165" s="24" t="n">
        <f aca="false">(G165-G164)/(F165-F164)</f>
        <v>142.25</v>
      </c>
      <c r="P165" s="34"/>
      <c r="Q165" s="34"/>
    </row>
    <row r="166" customFormat="false" ht="13.8" hidden="false" customHeight="false" outlineLevel="0" collapsed="false">
      <c r="F166" s="22" t="n">
        <v>12</v>
      </c>
      <c r="G166" s="24" t="n">
        <v>2064</v>
      </c>
      <c r="H166" s="24" t="n">
        <f aca="false">(G166-G165)/(F166-F165)</f>
        <v>138.5</v>
      </c>
      <c r="P166" s="34"/>
      <c r="Q166" s="34"/>
    </row>
    <row r="167" customFormat="false" ht="13.8" hidden="false" customHeight="false" outlineLevel="0" collapsed="false">
      <c r="D167" s="23" t="n">
        <v>2.5</v>
      </c>
      <c r="E167" s="22" t="n">
        <v>50</v>
      </c>
      <c r="F167" s="22" t="n">
        <v>14</v>
      </c>
      <c r="G167" s="24" t="n">
        <v>2312</v>
      </c>
      <c r="H167" s="24" t="n">
        <f aca="false">(G167-G166)/(F167-F166)</f>
        <v>124</v>
      </c>
      <c r="K167" s="38" t="n">
        <v>681</v>
      </c>
      <c r="L167" s="31" t="n">
        <f aca="false">H167*0.000000001/60</f>
        <v>2.06666666666667E-009</v>
      </c>
      <c r="M167" s="35" t="n">
        <f aca="false">L167*(1+LN(D167/0.076))/(2*PI()*D167*E167)</f>
        <v>1.18235309833271E-011</v>
      </c>
      <c r="P167" s="34"/>
      <c r="Q167" s="34"/>
    </row>
    <row r="168" customFormat="false" ht="13.8" hidden="false" customHeight="false" outlineLevel="0" collapsed="false">
      <c r="D168" s="23" t="n">
        <v>2.5</v>
      </c>
      <c r="E168" s="22" t="n">
        <v>50</v>
      </c>
      <c r="F168" s="22" t="n">
        <v>18</v>
      </c>
      <c r="G168" s="24" t="n">
        <v>2817</v>
      </c>
      <c r="H168" s="24" t="n">
        <f aca="false">(G168-G167)/(F168-F167)</f>
        <v>126.25</v>
      </c>
      <c r="K168" s="38" t="n">
        <v>681</v>
      </c>
      <c r="L168" s="31" t="n">
        <f aca="false">H168*0.000000001/60</f>
        <v>2.10416666666667E-009</v>
      </c>
      <c r="M168" s="35" t="n">
        <f aca="false">L168*(1+LN(D168/0.076))/(2*PI()*D168*E168)</f>
        <v>1.20380708600407E-011</v>
      </c>
      <c r="P168" s="34"/>
      <c r="Q168" s="34"/>
    </row>
    <row r="169" customFormat="false" ht="13.8" hidden="false" customHeight="false" outlineLevel="0" collapsed="false">
      <c r="D169" s="23" t="n">
        <v>2.5</v>
      </c>
      <c r="E169" s="22" t="n">
        <v>50</v>
      </c>
      <c r="F169" s="22" t="n">
        <v>20</v>
      </c>
      <c r="G169" s="24" t="n">
        <v>3034</v>
      </c>
      <c r="H169" s="24" t="n">
        <f aca="false">(G169-G168)/(F169-F168)</f>
        <v>108.5</v>
      </c>
      <c r="K169" s="38" t="n">
        <v>681</v>
      </c>
      <c r="L169" s="31" t="n">
        <f aca="false">H169*0.000000001/60</f>
        <v>1.80833333333333E-009</v>
      </c>
      <c r="M169" s="35" t="n">
        <f aca="false">L169*(1+LN(D169/0.076))/(2*PI()*D169*E169)</f>
        <v>1.03455896104112E-011</v>
      </c>
      <c r="N169" s="36" t="n">
        <f aca="false">AVERAGE(M167:M169)</f>
        <v>1.14023971512597E-011</v>
      </c>
      <c r="O169" s="22" t="n">
        <f aca="false">(MAX(L167:L169) - MIN(L167:L169))  / 3</f>
        <v>9.86111111111134E-011</v>
      </c>
      <c r="P169" s="34" t="n">
        <f aca="false">IF(Q169&lt;&gt;0, Q169, $R$4)</f>
        <v>0.0545314900153623</v>
      </c>
      <c r="Q169" s="34" t="n">
        <f aca="false">O169/L169</f>
        <v>0.0545314900153623</v>
      </c>
    </row>
    <row r="170" customFormat="false" ht="13.8" hidden="false" customHeight="false" outlineLevel="0" collapsed="false">
      <c r="A170" s="1" t="s">
        <v>26</v>
      </c>
      <c r="B170" s="1" t="n">
        <v>1</v>
      </c>
      <c r="C170" s="1" t="s">
        <v>70</v>
      </c>
      <c r="D170" s="23" t="n">
        <f aca="false">8.5-6.5</f>
        <v>2</v>
      </c>
      <c r="E170" s="22" t="n">
        <v>50</v>
      </c>
      <c r="F170" s="22" t="n">
        <v>0</v>
      </c>
      <c r="G170" s="24" t="n">
        <v>0</v>
      </c>
      <c r="J170" s="25" t="n">
        <v>45741.6361111111</v>
      </c>
      <c r="P170" s="34"/>
      <c r="Q170" s="34"/>
    </row>
    <row r="171" customFormat="false" ht="13.8" hidden="false" customHeight="false" outlineLevel="0" collapsed="false">
      <c r="F171" s="22" t="n">
        <v>1</v>
      </c>
      <c r="G171" s="24" t="n">
        <v>328</v>
      </c>
      <c r="H171" s="24" t="n">
        <f aca="false">(G171-G170)/(F171-F170)</f>
        <v>328</v>
      </c>
      <c r="P171" s="34"/>
      <c r="Q171" s="34"/>
    </row>
    <row r="172" customFormat="false" ht="13.8" hidden="false" customHeight="false" outlineLevel="0" collapsed="false">
      <c r="F172" s="22" t="n">
        <v>3</v>
      </c>
      <c r="G172" s="24" t="n">
        <v>779</v>
      </c>
      <c r="H172" s="24" t="n">
        <f aca="false">(G172-G171)/(F172-F171)</f>
        <v>225.5</v>
      </c>
      <c r="P172" s="34"/>
      <c r="Q172" s="34"/>
    </row>
    <row r="173" customFormat="false" ht="13.8" hidden="false" customHeight="false" outlineLevel="0" collapsed="false">
      <c r="F173" s="22" t="n">
        <v>4</v>
      </c>
      <c r="G173" s="24" t="n">
        <v>993</v>
      </c>
      <c r="H173" s="24" t="n">
        <f aca="false">(G173-G172)/(F173-F172)</f>
        <v>214</v>
      </c>
      <c r="P173" s="34"/>
      <c r="Q173" s="34"/>
    </row>
    <row r="174" customFormat="false" ht="13.8" hidden="false" customHeight="false" outlineLevel="0" collapsed="false">
      <c r="F174" s="22" t="n">
        <v>5</v>
      </c>
      <c r="G174" s="24" t="n">
        <v>1195</v>
      </c>
      <c r="H174" s="24" t="n">
        <f aca="false">(G174-G173)/(F174-F173)</f>
        <v>202</v>
      </c>
      <c r="P174" s="34"/>
      <c r="Q174" s="34"/>
    </row>
    <row r="175" customFormat="false" ht="13.8" hidden="false" customHeight="false" outlineLevel="0" collapsed="false">
      <c r="F175" s="22" t="n">
        <v>7</v>
      </c>
      <c r="G175" s="24" t="n">
        <v>1550</v>
      </c>
      <c r="H175" s="24" t="n">
        <f aca="false">(G175-G174)/(F175-F174)</f>
        <v>177.5</v>
      </c>
      <c r="P175" s="34"/>
      <c r="Q175" s="34"/>
    </row>
    <row r="176" customFormat="false" ht="13.8" hidden="false" customHeight="false" outlineLevel="0" collapsed="false">
      <c r="F176" s="22" t="n">
        <v>9</v>
      </c>
      <c r="G176" s="24" t="n">
        <v>1953</v>
      </c>
      <c r="H176" s="24" t="n">
        <f aca="false">(G176-G175)/(F176-F175)</f>
        <v>201.5</v>
      </c>
      <c r="P176" s="34"/>
      <c r="Q176" s="34"/>
    </row>
    <row r="177" customFormat="false" ht="13.8" hidden="false" customHeight="false" outlineLevel="0" collapsed="false">
      <c r="F177" s="22" t="n">
        <v>10</v>
      </c>
      <c r="G177" s="24" t="n">
        <v>2142</v>
      </c>
      <c r="H177" s="24" t="n">
        <f aca="false">(G177-G176)/(F177-F176)</f>
        <v>189</v>
      </c>
      <c r="P177" s="34"/>
      <c r="Q177" s="34"/>
    </row>
    <row r="178" customFormat="false" ht="13.8" hidden="false" customHeight="false" outlineLevel="0" collapsed="false">
      <c r="D178" s="23" t="n">
        <v>2</v>
      </c>
      <c r="E178" s="22" t="n">
        <v>49.9</v>
      </c>
      <c r="F178" s="22" t="n">
        <v>15</v>
      </c>
      <c r="G178" s="24" t="n">
        <v>3018</v>
      </c>
      <c r="H178" s="24" t="n">
        <f aca="false">(G178-G177)/(F178-F177)</f>
        <v>175.2</v>
      </c>
      <c r="K178" s="24" t="n">
        <v>499</v>
      </c>
      <c r="L178" s="31" t="n">
        <f aca="false">H178*0.000000001/60</f>
        <v>2.92E-009</v>
      </c>
      <c r="M178" s="35" t="n">
        <f aca="false">L178*(1+LN(D178/0.076))/(2*PI()*D178*E178)</f>
        <v>1.98846301367768E-011</v>
      </c>
      <c r="P178" s="34"/>
      <c r="Q178" s="34"/>
    </row>
    <row r="179" customFormat="false" ht="13.8" hidden="false" customHeight="false" outlineLevel="0" collapsed="false">
      <c r="D179" s="23" t="n">
        <v>2</v>
      </c>
      <c r="E179" s="22" t="n">
        <v>49.9</v>
      </c>
      <c r="F179" s="22" t="n">
        <v>18</v>
      </c>
      <c r="G179" s="24" t="n">
        <v>3506</v>
      </c>
      <c r="H179" s="24" t="n">
        <f aca="false">(G179-G178)/(F179-F178)</f>
        <v>162.666666666667</v>
      </c>
      <c r="K179" s="24" t="n">
        <v>499</v>
      </c>
      <c r="L179" s="31" t="n">
        <f aca="false">H179*0.000000001/60</f>
        <v>2.71111111111111E-009</v>
      </c>
      <c r="M179" s="35" t="n">
        <f aca="false">L179*(1+LN(D179/0.076))/(2*PI()*D179*E179)</f>
        <v>1.84621375699145E-011</v>
      </c>
      <c r="P179" s="34"/>
      <c r="Q179" s="34"/>
    </row>
    <row r="180" customFormat="false" ht="13.8" hidden="false" customHeight="false" outlineLevel="0" collapsed="false">
      <c r="D180" s="23" t="n">
        <v>2</v>
      </c>
      <c r="E180" s="22" t="n">
        <v>49.9</v>
      </c>
      <c r="F180" s="22" t="n">
        <v>20</v>
      </c>
      <c r="G180" s="24" t="n">
        <v>3838</v>
      </c>
      <c r="H180" s="24" t="n">
        <f aca="false">(G180-G179)/(F180-F179)</f>
        <v>166</v>
      </c>
      <c r="K180" s="24" t="n">
        <v>499</v>
      </c>
      <c r="L180" s="31" t="n">
        <f aca="false">H180*0.000000001/60</f>
        <v>2.76666666666667E-009</v>
      </c>
      <c r="M180" s="35" t="n">
        <f aca="false">L180*(1+LN(D180/0.076))/(2*PI()*D180*E180)</f>
        <v>1.88404600611013E-011</v>
      </c>
      <c r="N180" s="36" t="n">
        <f aca="false">AVERAGE(M178:M180)</f>
        <v>1.90624092559308E-011</v>
      </c>
      <c r="O180" s="22" t="n">
        <f aca="false">(MAX(L178:L180) - MIN(L178:L180))  / 3</f>
        <v>6.962962962963E-011</v>
      </c>
      <c r="P180" s="34" t="n">
        <f aca="false">IF(Q180&lt;&gt;0, Q180, $R$4)</f>
        <v>0.0251673360107096</v>
      </c>
      <c r="Q180" s="34" t="n">
        <f aca="false">O180/L180</f>
        <v>0.0251673360107096</v>
      </c>
    </row>
    <row r="181" customFormat="false" ht="13.8" hidden="false" customHeight="false" outlineLevel="0" collapsed="false">
      <c r="A181" s="1" t="s">
        <v>26</v>
      </c>
      <c r="B181" s="1" t="n">
        <v>0</v>
      </c>
      <c r="C181" s="1" t="s">
        <v>57</v>
      </c>
      <c r="D181" s="23" t="n">
        <f aca="false">5.5-3</f>
        <v>2.5</v>
      </c>
      <c r="E181" s="22" t="n">
        <v>50</v>
      </c>
      <c r="F181" s="22" t="n">
        <v>0</v>
      </c>
      <c r="G181" s="24" t="n">
        <v>0</v>
      </c>
      <c r="J181" s="25" t="n">
        <v>45741.6527777778</v>
      </c>
      <c r="P181" s="34"/>
      <c r="Q181" s="34"/>
    </row>
    <row r="182" customFormat="false" ht="13.8" hidden="false" customHeight="false" outlineLevel="0" collapsed="false">
      <c r="F182" s="22" t="n">
        <v>1</v>
      </c>
      <c r="G182" s="24" t="n">
        <v>214</v>
      </c>
      <c r="H182" s="24" t="n">
        <f aca="false">(G182-G181)/(F182-F181)</f>
        <v>214</v>
      </c>
      <c r="P182" s="34"/>
      <c r="Q182" s="34"/>
    </row>
    <row r="183" customFormat="false" ht="13.8" hidden="false" customHeight="false" outlineLevel="0" collapsed="false">
      <c r="F183" s="22" t="n">
        <v>2</v>
      </c>
      <c r="G183" s="24" t="n">
        <v>393</v>
      </c>
      <c r="H183" s="24" t="n">
        <f aca="false">(G183-G182)/(F183-F182)</f>
        <v>179</v>
      </c>
      <c r="P183" s="34"/>
      <c r="Q183" s="34"/>
    </row>
    <row r="184" customFormat="false" ht="13.8" hidden="false" customHeight="false" outlineLevel="0" collapsed="false">
      <c r="F184" s="22" t="n">
        <v>3</v>
      </c>
      <c r="G184" s="24" t="n">
        <v>552</v>
      </c>
      <c r="H184" s="24" t="n">
        <f aca="false">(G184-G183)/(F184-F183)</f>
        <v>159</v>
      </c>
      <c r="P184" s="34"/>
      <c r="Q184" s="34"/>
    </row>
    <row r="185" customFormat="false" ht="13.8" hidden="false" customHeight="false" outlineLevel="0" collapsed="false">
      <c r="F185" s="22" t="n">
        <v>5</v>
      </c>
      <c r="G185" s="24" t="n">
        <v>802</v>
      </c>
      <c r="H185" s="24" t="n">
        <f aca="false">(G185-G184)/(F185-F184)</f>
        <v>125</v>
      </c>
      <c r="P185" s="34"/>
      <c r="Q185" s="34"/>
    </row>
    <row r="186" customFormat="false" ht="13.8" hidden="false" customHeight="false" outlineLevel="0" collapsed="false">
      <c r="F186" s="22" t="n">
        <v>8</v>
      </c>
      <c r="G186" s="24" t="n">
        <v>1138</v>
      </c>
      <c r="H186" s="24" t="n">
        <f aca="false">(G186-G185)/(F186-F185)</f>
        <v>112</v>
      </c>
      <c r="P186" s="34"/>
      <c r="Q186" s="34"/>
    </row>
    <row r="187" customFormat="false" ht="13.8" hidden="false" customHeight="false" outlineLevel="0" collapsed="false">
      <c r="F187" s="22" t="n">
        <v>10</v>
      </c>
      <c r="G187" s="24" t="n">
        <v>1355</v>
      </c>
      <c r="H187" s="24" t="n">
        <f aca="false">(G187-G186)/(F187-F186)</f>
        <v>108.5</v>
      </c>
      <c r="P187" s="34"/>
      <c r="Q187" s="34"/>
    </row>
    <row r="188" customFormat="false" ht="13.8" hidden="false" customHeight="false" outlineLevel="0" collapsed="false">
      <c r="F188" s="22" t="n">
        <v>12</v>
      </c>
      <c r="G188" s="24" t="n">
        <v>1527</v>
      </c>
      <c r="H188" s="24" t="n">
        <f aca="false">(G188-G187)/(F188-F187)</f>
        <v>86</v>
      </c>
      <c r="P188" s="34"/>
      <c r="Q188" s="34"/>
    </row>
    <row r="189" customFormat="false" ht="13.8" hidden="false" customHeight="false" outlineLevel="0" collapsed="false">
      <c r="F189" s="22" t="n">
        <v>15</v>
      </c>
      <c r="G189" s="24" t="n">
        <v>1795</v>
      </c>
      <c r="H189" s="24" t="n">
        <f aca="false">(G189-G188)/(F189-F188)</f>
        <v>89.3333333333333</v>
      </c>
      <c r="P189" s="34"/>
      <c r="Q189" s="34"/>
    </row>
    <row r="190" customFormat="false" ht="13.8" hidden="false" customHeight="false" outlineLevel="0" collapsed="false">
      <c r="F190" s="22" t="n">
        <v>20</v>
      </c>
      <c r="G190" s="24" t="n">
        <v>2244</v>
      </c>
      <c r="H190" s="24" t="n">
        <f aca="false">(G190-G189)/(F190-F189)</f>
        <v>89.8</v>
      </c>
      <c r="P190" s="34"/>
      <c r="Q190" s="34"/>
    </row>
    <row r="191" customFormat="false" ht="13.8" hidden="false" customHeight="false" outlineLevel="0" collapsed="false">
      <c r="D191" s="23" t="n">
        <v>2.5</v>
      </c>
      <c r="E191" s="22" t="n">
        <v>47.8</v>
      </c>
      <c r="F191" s="22" t="n">
        <v>52</v>
      </c>
      <c r="G191" s="24" t="n">
        <v>4302</v>
      </c>
      <c r="H191" s="24" t="n">
        <f aca="false">(G191-G190)/(F191-F190)</f>
        <v>64.3125</v>
      </c>
      <c r="K191" s="24" t="n">
        <v>478</v>
      </c>
      <c r="L191" s="31" t="n">
        <f aca="false">H191*0.000000001/60</f>
        <v>1.071875E-009</v>
      </c>
      <c r="M191" s="35" t="n">
        <f aca="false">L191*(1+LN(D191/0.076))/(2*PI()*D191*E191)</f>
        <v>6.41450293869975E-012</v>
      </c>
      <c r="P191" s="34"/>
      <c r="Q191" s="34"/>
    </row>
    <row r="192" customFormat="false" ht="13.8" hidden="false" customHeight="false" outlineLevel="0" collapsed="false">
      <c r="D192" s="23" t="n">
        <v>2.5</v>
      </c>
      <c r="E192" s="22" t="n">
        <v>47.8</v>
      </c>
      <c r="F192" s="22" t="n">
        <v>892</v>
      </c>
      <c r="G192" s="24" t="n">
        <v>40347</v>
      </c>
      <c r="H192" s="24" t="n">
        <f aca="false">(G192-G191)/(F192-F191)</f>
        <v>42.9107142857143</v>
      </c>
      <c r="K192" s="24" t="n">
        <v>478</v>
      </c>
      <c r="L192" s="31" t="n">
        <f aca="false">H192*0.000000001/60</f>
        <v>7.15178571428572E-010</v>
      </c>
      <c r="M192" s="35" t="n">
        <f aca="false">L192*(1+LN(D192/0.076))/(2*PI()*D192*E192)</f>
        <v>4.27989742099001E-012</v>
      </c>
      <c r="N192" s="36" t="n">
        <f aca="false">AVERAGE(M191:M192)</f>
        <v>5.34720017984488E-012</v>
      </c>
      <c r="O192" s="22" t="n">
        <f aca="false">(MAX(L191:L192) - MIN(L191:L192))  / 3</f>
        <v>1.18898809523809E-010</v>
      </c>
      <c r="P192" s="34" t="n">
        <f aca="false">IF(Q192&lt;&gt;0, Q192, $R$4)</f>
        <v>0.166250520183104</v>
      </c>
      <c r="Q192" s="34" t="n">
        <f aca="false">O192/L192</f>
        <v>0.166250520183104</v>
      </c>
    </row>
    <row r="193" customFormat="false" ht="13.8" hidden="false" customHeight="false" outlineLevel="0" collapsed="false">
      <c r="A193" s="1" t="s">
        <v>21</v>
      </c>
      <c r="B193" s="1" t="n">
        <v>2</v>
      </c>
      <c r="C193" s="1" t="s">
        <v>71</v>
      </c>
      <c r="D193" s="23" t="n">
        <f aca="false">10.8-8.5</f>
        <v>2.3</v>
      </c>
      <c r="E193" s="22" t="n">
        <v>100</v>
      </c>
      <c r="F193" s="22" t="n">
        <v>0</v>
      </c>
      <c r="G193" s="24" t="n">
        <v>0</v>
      </c>
      <c r="J193" s="25" t="n">
        <v>45742.2958333333</v>
      </c>
      <c r="P193" s="34"/>
      <c r="Q193" s="34"/>
    </row>
    <row r="194" customFormat="false" ht="13.8" hidden="false" customHeight="false" outlineLevel="0" collapsed="false">
      <c r="F194" s="22" t="n">
        <v>1</v>
      </c>
      <c r="G194" s="24" t="n">
        <v>553</v>
      </c>
      <c r="H194" s="24" t="n">
        <f aca="false">(G194-G193)/(F194-F193)</f>
        <v>553</v>
      </c>
      <c r="P194" s="34"/>
      <c r="Q194" s="34"/>
    </row>
    <row r="195" customFormat="false" ht="13.8" hidden="false" customHeight="false" outlineLevel="0" collapsed="false">
      <c r="F195" s="22" t="n">
        <v>2</v>
      </c>
      <c r="G195" s="24" t="n">
        <v>1034</v>
      </c>
      <c r="H195" s="24" t="n">
        <f aca="false">(G195-G194)/(F195-F194)</f>
        <v>481</v>
      </c>
      <c r="P195" s="34"/>
      <c r="Q195" s="34"/>
    </row>
    <row r="196" customFormat="false" ht="13.8" hidden="false" customHeight="false" outlineLevel="0" collapsed="false">
      <c r="F196" s="22" t="n">
        <v>3</v>
      </c>
      <c r="G196" s="24" t="n">
        <v>1458</v>
      </c>
      <c r="H196" s="24" t="n">
        <f aca="false">(G196-G195)/(F196-F195)</f>
        <v>424</v>
      </c>
      <c r="P196" s="34"/>
      <c r="Q196" s="34"/>
    </row>
    <row r="197" customFormat="false" ht="13.8" hidden="false" customHeight="false" outlineLevel="0" collapsed="false">
      <c r="F197" s="22" t="n">
        <v>5</v>
      </c>
      <c r="G197" s="24" t="n">
        <v>2201</v>
      </c>
      <c r="H197" s="24" t="n">
        <f aca="false">(G197-G196)/(F197-F196)</f>
        <v>371.5</v>
      </c>
      <c r="P197" s="34"/>
      <c r="Q197" s="34"/>
    </row>
    <row r="198" customFormat="false" ht="13.8" hidden="false" customHeight="false" outlineLevel="0" collapsed="false">
      <c r="F198" s="22" t="n">
        <v>7</v>
      </c>
      <c r="G198" s="24" t="n">
        <v>2884</v>
      </c>
      <c r="H198" s="24" t="n">
        <f aca="false">(G198-G197)/(F198-F197)</f>
        <v>341.5</v>
      </c>
      <c r="P198" s="34"/>
      <c r="Q198" s="34"/>
    </row>
    <row r="199" customFormat="false" ht="13.8" hidden="false" customHeight="false" outlineLevel="0" collapsed="false">
      <c r="F199" s="22" t="n">
        <v>10</v>
      </c>
      <c r="G199" s="24" t="n">
        <v>3794</v>
      </c>
      <c r="H199" s="24" t="n">
        <f aca="false">(G199-G198)/(F199-F198)</f>
        <v>303.333333333333</v>
      </c>
      <c r="P199" s="34"/>
      <c r="Q199" s="34"/>
    </row>
    <row r="200" customFormat="false" ht="13.8" hidden="false" customHeight="false" outlineLevel="0" collapsed="false">
      <c r="F200" s="22" t="n">
        <v>12</v>
      </c>
      <c r="G200" s="24" t="n">
        <v>4338</v>
      </c>
      <c r="H200" s="24" t="n">
        <f aca="false">(G200-G199)/(F200-F199)</f>
        <v>272</v>
      </c>
      <c r="P200" s="34"/>
      <c r="Q200" s="34"/>
    </row>
    <row r="201" customFormat="false" ht="13.8" hidden="false" customHeight="false" outlineLevel="0" collapsed="false">
      <c r="D201" s="23" t="n">
        <v>2.3</v>
      </c>
      <c r="E201" s="22" t="n">
        <v>98</v>
      </c>
      <c r="F201" s="22" t="n">
        <v>15</v>
      </c>
      <c r="G201" s="24" t="n">
        <v>5113</v>
      </c>
      <c r="H201" s="24" t="n">
        <f aca="false">(G201-G200)/(F201-F200)</f>
        <v>258.333333333333</v>
      </c>
      <c r="K201" s="24" t="n">
        <v>980</v>
      </c>
      <c r="L201" s="31" t="n">
        <f aca="false">H201*0.000000001/60</f>
        <v>4.30555555555556E-009</v>
      </c>
      <c r="M201" s="35" t="n">
        <f aca="false">L201*(1+LN(D201/0.076))/(2*PI()*D201*E201)</f>
        <v>1.34068644272802E-011</v>
      </c>
      <c r="P201" s="34"/>
      <c r="Q201" s="34"/>
    </row>
    <row r="202" customFormat="false" ht="13.8" hidden="false" customHeight="false" outlineLevel="0" collapsed="false">
      <c r="D202" s="23" t="n">
        <v>2.3</v>
      </c>
      <c r="E202" s="22" t="n">
        <v>98</v>
      </c>
      <c r="F202" s="22" t="n">
        <v>17</v>
      </c>
      <c r="G202" s="24" t="n">
        <v>5603</v>
      </c>
      <c r="H202" s="24" t="n">
        <f aca="false">(G202-G201)/(F202-F201)</f>
        <v>245</v>
      </c>
      <c r="K202" s="24" t="n">
        <v>980</v>
      </c>
      <c r="L202" s="31" t="n">
        <f aca="false">H202*0.000000001/60</f>
        <v>4.08333333333333E-009</v>
      </c>
      <c r="M202" s="35" t="n">
        <f aca="false">L202*(1+LN(D202/0.076))/(2*PI()*D202*E202)</f>
        <v>1.27148972310335E-011</v>
      </c>
      <c r="P202" s="34"/>
      <c r="Q202" s="34"/>
    </row>
    <row r="203" customFormat="false" ht="13.8" hidden="false" customHeight="false" outlineLevel="0" collapsed="false">
      <c r="D203" s="23" t="n">
        <v>2.3</v>
      </c>
      <c r="E203" s="22" t="n">
        <v>98</v>
      </c>
      <c r="F203" s="22" t="n">
        <v>20</v>
      </c>
      <c r="G203" s="24" t="n">
        <v>6291</v>
      </c>
      <c r="H203" s="24" t="n">
        <f aca="false">(G203-G202)/(F203-F202)</f>
        <v>229.333333333333</v>
      </c>
      <c r="K203" s="24" t="n">
        <v>980</v>
      </c>
      <c r="L203" s="31" t="n">
        <f aca="false">H203*0.000000001/60</f>
        <v>3.82222222222222E-009</v>
      </c>
      <c r="M203" s="35" t="n">
        <f aca="false">L203*(1+LN(D203/0.076))/(2*PI()*D203*E203)</f>
        <v>1.19018357754436E-011</v>
      </c>
      <c r="N203" s="36" t="n">
        <f aca="false">AVERAGE(M201:M203)</f>
        <v>1.26745324779191E-011</v>
      </c>
      <c r="O203" s="22" t="n">
        <f aca="false">(MAX(L201:L203) - MIN(L201:L203))  / 3</f>
        <v>1.61111111111113E-010</v>
      </c>
      <c r="P203" s="34" t="n">
        <f aca="false">IF(Q203&lt;&gt;0, Q203, $R$4)</f>
        <v>0.0421511627906982</v>
      </c>
      <c r="Q203" s="34" t="n">
        <f aca="false">O203/L203</f>
        <v>0.0421511627906982</v>
      </c>
    </row>
    <row r="204" customFormat="false" ht="13.8" hidden="false" customHeight="false" outlineLevel="0" collapsed="false">
      <c r="A204" s="1" t="s">
        <v>21</v>
      </c>
      <c r="B204" s="1" t="n">
        <v>1</v>
      </c>
      <c r="C204" s="1" t="s">
        <v>64</v>
      </c>
      <c r="D204" s="23" t="n">
        <f aca="false">7.5-5.5</f>
        <v>2</v>
      </c>
      <c r="E204" s="22" t="n">
        <v>100</v>
      </c>
      <c r="F204" s="22" t="n">
        <v>0</v>
      </c>
      <c r="G204" s="24" t="n">
        <v>0</v>
      </c>
      <c r="J204" s="25" t="n">
        <v>45742.3138888889</v>
      </c>
      <c r="P204" s="34"/>
      <c r="Q204" s="34"/>
    </row>
    <row r="205" customFormat="false" ht="13.8" hidden="false" customHeight="false" outlineLevel="0" collapsed="false">
      <c r="F205" s="22" t="n">
        <v>1</v>
      </c>
      <c r="G205" s="24" t="n">
        <v>439</v>
      </c>
      <c r="H205" s="24" t="n">
        <f aca="false">(G205-G204)/(F205-F204)</f>
        <v>439</v>
      </c>
      <c r="P205" s="34"/>
      <c r="Q205" s="34"/>
    </row>
    <row r="206" customFormat="false" ht="13.8" hidden="false" customHeight="false" outlineLevel="0" collapsed="false">
      <c r="F206" s="22" t="n">
        <v>2</v>
      </c>
      <c r="G206" s="24" t="n">
        <v>801</v>
      </c>
      <c r="H206" s="24" t="n">
        <f aca="false">(G206-G205)/(F206-F205)</f>
        <v>362</v>
      </c>
      <c r="P206" s="34"/>
      <c r="Q206" s="34"/>
    </row>
    <row r="207" customFormat="false" ht="13.8" hidden="false" customHeight="false" outlineLevel="0" collapsed="false">
      <c r="F207" s="22" t="n">
        <v>3</v>
      </c>
      <c r="G207" s="24" t="n">
        <v>1143</v>
      </c>
      <c r="H207" s="24" t="n">
        <f aca="false">(G207-G206)/(F207-F206)</f>
        <v>342</v>
      </c>
      <c r="P207" s="34"/>
      <c r="Q207" s="34"/>
    </row>
    <row r="208" customFormat="false" ht="13.8" hidden="false" customHeight="false" outlineLevel="0" collapsed="false">
      <c r="F208" s="22" t="n">
        <v>5</v>
      </c>
      <c r="G208" s="24" t="n">
        <v>1716</v>
      </c>
      <c r="H208" s="24" t="n">
        <f aca="false">(G208-G207)/(F208-F207)</f>
        <v>286.5</v>
      </c>
      <c r="P208" s="34"/>
      <c r="Q208" s="34"/>
    </row>
    <row r="209" customFormat="false" ht="13.8" hidden="false" customHeight="false" outlineLevel="0" collapsed="false">
      <c r="F209" s="22" t="n">
        <v>7</v>
      </c>
      <c r="G209" s="24" t="n">
        <v>2249</v>
      </c>
      <c r="H209" s="24" t="n">
        <f aca="false">(G209-G208)/(F209-F208)</f>
        <v>266.5</v>
      </c>
      <c r="P209" s="34"/>
      <c r="Q209" s="34"/>
    </row>
    <row r="210" customFormat="false" ht="13.8" hidden="false" customHeight="false" outlineLevel="0" collapsed="false">
      <c r="F210" s="22" t="n">
        <v>10</v>
      </c>
      <c r="G210" s="24" t="n">
        <v>2997</v>
      </c>
      <c r="H210" s="24" t="n">
        <f aca="false">(G210-G209)/(F210-F209)</f>
        <v>249.333333333333</v>
      </c>
      <c r="P210" s="34"/>
      <c r="Q210" s="34"/>
    </row>
    <row r="211" customFormat="false" ht="13.8" hidden="false" customHeight="false" outlineLevel="0" collapsed="false">
      <c r="F211" s="22" t="n">
        <v>12</v>
      </c>
      <c r="G211" s="24" t="n">
        <v>3471</v>
      </c>
      <c r="H211" s="24" t="n">
        <f aca="false">(G211-G210)/(F211-F210)</f>
        <v>237</v>
      </c>
      <c r="P211" s="34"/>
      <c r="Q211" s="34"/>
    </row>
    <row r="212" customFormat="false" ht="13.8" hidden="false" customHeight="false" outlineLevel="0" collapsed="false">
      <c r="D212" s="23" t="n">
        <v>2</v>
      </c>
      <c r="E212" s="22" t="n">
        <v>98.3</v>
      </c>
      <c r="F212" s="22" t="n">
        <v>15</v>
      </c>
      <c r="G212" s="24" t="n">
        <v>4105</v>
      </c>
      <c r="H212" s="24" t="n">
        <f aca="false">(G212-G211)/(F212-F211)</f>
        <v>211.333333333333</v>
      </c>
      <c r="K212" s="24" t="n">
        <v>983</v>
      </c>
      <c r="L212" s="31" t="n">
        <f aca="false">H212*0.000000001/60</f>
        <v>3.52222222222222E-009</v>
      </c>
      <c r="M212" s="35" t="n">
        <f aca="false">L212*(1+LN(D212/0.076))/(2*PI()*D212*E212)</f>
        <v>1.21758263730208E-011</v>
      </c>
      <c r="P212" s="34"/>
      <c r="Q212" s="34"/>
    </row>
    <row r="213" customFormat="false" ht="13.8" hidden="false" customHeight="false" outlineLevel="0" collapsed="false">
      <c r="D213" s="23" t="n">
        <v>2</v>
      </c>
      <c r="E213" s="22" t="n">
        <v>98.3</v>
      </c>
      <c r="F213" s="22" t="n">
        <v>17</v>
      </c>
      <c r="G213" s="24" t="n">
        <v>4531</v>
      </c>
      <c r="H213" s="24" t="n">
        <f aca="false">(G213-G212)/(F213-F212)</f>
        <v>213</v>
      </c>
      <c r="K213" s="24" t="n">
        <v>983</v>
      </c>
      <c r="L213" s="31" t="n">
        <f aca="false">H213*0.000000001/60</f>
        <v>3.55E-009</v>
      </c>
      <c r="M213" s="35" t="n">
        <f aca="false">L213*(1+LN(D213/0.076))/(2*PI()*D213*E213)</f>
        <v>1.22718502403159E-011</v>
      </c>
      <c r="P213" s="34"/>
      <c r="Q213" s="34"/>
    </row>
    <row r="214" customFormat="false" ht="13.8" hidden="false" customHeight="false" outlineLevel="0" collapsed="false">
      <c r="D214" s="23" t="n">
        <v>2</v>
      </c>
      <c r="E214" s="22" t="n">
        <v>98.3</v>
      </c>
      <c r="F214" s="22" t="n">
        <v>20</v>
      </c>
      <c r="G214" s="24" t="n">
        <v>5121</v>
      </c>
      <c r="H214" s="24" t="n">
        <f aca="false">(G214-G213)/(F214-F213)</f>
        <v>196.666666666667</v>
      </c>
      <c r="K214" s="24" t="n">
        <v>983</v>
      </c>
      <c r="L214" s="31" t="n">
        <f aca="false">H214*0.000000001/60</f>
        <v>3.27777777777778E-009</v>
      </c>
      <c r="M214" s="35" t="n">
        <f aca="false">L214*(1+LN(D214/0.076))/(2*PI()*D214*E214)</f>
        <v>1.13308163408238E-011</v>
      </c>
      <c r="N214" s="36" t="n">
        <f aca="false">AVERAGE(M212:M214)</f>
        <v>1.19261643180535E-011</v>
      </c>
      <c r="O214" s="22" t="n">
        <f aca="false">(MAX(L212:L214) - MIN(L212:L214))  / 3</f>
        <v>9.074074074074E-011</v>
      </c>
      <c r="P214" s="34" t="n">
        <f aca="false">IF(Q214&lt;&gt;0, Q214, $R$4)</f>
        <v>0.0276836158192088</v>
      </c>
      <c r="Q214" s="34" t="n">
        <f aca="false">O214/L214</f>
        <v>0.0276836158192088</v>
      </c>
    </row>
    <row r="215" customFormat="false" ht="13.8" hidden="false" customHeight="false" outlineLevel="0" collapsed="false">
      <c r="A215" s="1" t="s">
        <v>21</v>
      </c>
      <c r="B215" s="1" t="n">
        <v>0</v>
      </c>
      <c r="C215" s="1" t="s">
        <v>65</v>
      </c>
      <c r="D215" s="23" t="n">
        <f aca="false">4.5-2</f>
        <v>2.5</v>
      </c>
      <c r="E215" s="22" t="n">
        <v>50</v>
      </c>
      <c r="F215" s="22" t="n">
        <v>0</v>
      </c>
      <c r="G215" s="24" t="n">
        <v>0</v>
      </c>
      <c r="J215" s="25" t="n">
        <v>45742.3305555556</v>
      </c>
      <c r="P215" s="34"/>
      <c r="Q215" s="34"/>
    </row>
    <row r="216" customFormat="false" ht="13.8" hidden="false" customHeight="false" outlineLevel="0" collapsed="false">
      <c r="F216" s="22" t="n">
        <v>1</v>
      </c>
      <c r="G216" s="24" t="n">
        <v>1837</v>
      </c>
      <c r="H216" s="24" t="n">
        <f aca="false">(G216-G215)/(F216-F215)</f>
        <v>1837</v>
      </c>
      <c r="P216" s="34"/>
      <c r="Q216" s="34"/>
    </row>
    <row r="217" customFormat="false" ht="13.8" hidden="false" customHeight="false" outlineLevel="0" collapsed="false">
      <c r="F217" s="22" t="n">
        <v>2</v>
      </c>
      <c r="G217" s="24" t="n">
        <v>3391</v>
      </c>
      <c r="H217" s="24" t="n">
        <f aca="false">(G217-G216)/(F217-F216)</f>
        <v>1554</v>
      </c>
      <c r="P217" s="34"/>
      <c r="Q217" s="34"/>
    </row>
    <row r="218" customFormat="false" ht="13.8" hidden="false" customHeight="false" outlineLevel="0" collapsed="false">
      <c r="F218" s="22" t="n">
        <v>3</v>
      </c>
      <c r="G218" s="24" t="n">
        <v>4792</v>
      </c>
      <c r="H218" s="24" t="n">
        <f aca="false">(G218-G217)/(F218-F217)</f>
        <v>1401</v>
      </c>
      <c r="P218" s="34"/>
      <c r="Q218" s="34"/>
    </row>
    <row r="219" customFormat="false" ht="13.8" hidden="false" customHeight="false" outlineLevel="0" collapsed="false">
      <c r="F219" s="22" t="n">
        <v>5</v>
      </c>
      <c r="G219" s="24" t="n">
        <v>7176</v>
      </c>
      <c r="H219" s="24" t="n">
        <f aca="false">(G219-G218)/(F219-F218)</f>
        <v>1192</v>
      </c>
      <c r="P219" s="34"/>
      <c r="Q219" s="34"/>
    </row>
    <row r="220" customFormat="false" ht="13.8" hidden="false" customHeight="false" outlineLevel="0" collapsed="false">
      <c r="F220" s="22" t="n">
        <v>7</v>
      </c>
      <c r="G220" s="24" t="n">
        <v>9143</v>
      </c>
      <c r="H220" s="24" t="n">
        <f aca="false">(G220-G219)/(F220-F219)</f>
        <v>983.5</v>
      </c>
      <c r="P220" s="34"/>
      <c r="Q220" s="34"/>
    </row>
    <row r="221" customFormat="false" ht="13.8" hidden="false" customHeight="false" outlineLevel="0" collapsed="false">
      <c r="F221" s="22" t="n">
        <v>10</v>
      </c>
      <c r="G221" s="24" t="n">
        <v>11651</v>
      </c>
      <c r="H221" s="24" t="n">
        <f aca="false">(G221-G220)/(F221-F220)</f>
        <v>836</v>
      </c>
      <c r="P221" s="34"/>
      <c r="Q221" s="34"/>
    </row>
    <row r="222" customFormat="false" ht="13.8" hidden="false" customHeight="false" outlineLevel="0" collapsed="false">
      <c r="F222" s="22" t="n">
        <v>12</v>
      </c>
      <c r="G222" s="24" t="n">
        <v>13196</v>
      </c>
      <c r="H222" s="24" t="n">
        <f aca="false">(G222-G221)/(F222-F221)</f>
        <v>772.5</v>
      </c>
      <c r="P222" s="34"/>
      <c r="Q222" s="34"/>
    </row>
    <row r="223" customFormat="false" ht="13.8" hidden="false" customHeight="false" outlineLevel="0" collapsed="false">
      <c r="F223" s="22" t="n">
        <v>15</v>
      </c>
      <c r="G223" s="24" t="n">
        <v>15281</v>
      </c>
      <c r="H223" s="24" t="n">
        <f aca="false">(G223-G222)/(F223-F222)</f>
        <v>695</v>
      </c>
      <c r="P223" s="34"/>
      <c r="Q223" s="34"/>
    </row>
    <row r="224" customFormat="false" ht="13.8" hidden="false" customHeight="false" outlineLevel="0" collapsed="false">
      <c r="D224" s="23" t="n">
        <v>2.5</v>
      </c>
      <c r="E224" s="22" t="n">
        <v>49.3</v>
      </c>
      <c r="F224" s="22" t="n">
        <v>17</v>
      </c>
      <c r="G224" s="24" t="n">
        <v>16621</v>
      </c>
      <c r="H224" s="24" t="n">
        <f aca="false">(G224-G223)/(F224-F223)</f>
        <v>670</v>
      </c>
      <c r="K224" s="24" t="n">
        <v>493</v>
      </c>
      <c r="L224" s="31" t="n">
        <f aca="false">H224*0.000000001/60</f>
        <v>1.11666666666667E-008</v>
      </c>
      <c r="M224" s="35" t="n">
        <f aca="false">L224*(1+LN(D224/0.076))/(2*PI()*D224*E224)</f>
        <v>6.47922999315346E-011</v>
      </c>
      <c r="P224" s="34"/>
      <c r="Q224" s="34"/>
    </row>
    <row r="225" customFormat="false" ht="13.8" hidden="false" customHeight="false" outlineLevel="0" collapsed="false">
      <c r="D225" s="23" t="n">
        <v>2.5</v>
      </c>
      <c r="E225" s="22" t="n">
        <v>49.3</v>
      </c>
      <c r="F225" s="22" t="n">
        <v>20</v>
      </c>
      <c r="G225" s="24" t="n">
        <v>18478</v>
      </c>
      <c r="H225" s="24" t="n">
        <f aca="false">(G225-G224)/(F225-F224)</f>
        <v>619</v>
      </c>
      <c r="K225" s="24" t="n">
        <v>493</v>
      </c>
      <c r="L225" s="31" t="n">
        <f aca="false">H225*0.000000001/60</f>
        <v>1.03166666666667E-008</v>
      </c>
      <c r="M225" s="35" t="n">
        <f aca="false">L225*(1+LN(D225/0.076))/(2*PI()*D225*E225)</f>
        <v>5.98603487427163E-011</v>
      </c>
      <c r="P225" s="34"/>
      <c r="Q225" s="34"/>
    </row>
    <row r="226" customFormat="false" ht="13.8" hidden="false" customHeight="false" outlineLevel="0" collapsed="false">
      <c r="D226" s="23" t="n">
        <v>2.5</v>
      </c>
      <c r="E226" s="22" t="n">
        <v>49.3</v>
      </c>
      <c r="F226" s="22" t="n">
        <v>21</v>
      </c>
      <c r="G226" s="24" t="n">
        <v>19116</v>
      </c>
      <c r="H226" s="24" t="n">
        <f aca="false">(G226-G225)/(F226-F225)</f>
        <v>638</v>
      </c>
      <c r="K226" s="24" t="n">
        <v>493</v>
      </c>
      <c r="L226" s="31" t="n">
        <f aca="false">H226*0.000000001/60</f>
        <v>1.06333333333333E-008</v>
      </c>
      <c r="M226" s="35" t="n">
        <f aca="false">L226*(1+LN(D226/0.076))/(2*PI()*D226*E226)</f>
        <v>6.16977423228643E-011</v>
      </c>
      <c r="N226" s="36" t="n">
        <f aca="false">AVERAGE(M224:M226)</f>
        <v>6.21167969990384E-011</v>
      </c>
      <c r="O226" s="22" t="n">
        <f aca="false">(MAX(L224:L226) - MIN(L224:L226))  / 3</f>
        <v>2.83333333333334E-010</v>
      </c>
      <c r="P226" s="34" t="n">
        <f aca="false">IF(Q226&lt;&gt;0, Q226, $R$4)</f>
        <v>0.0266457680250785</v>
      </c>
      <c r="Q226" s="34" t="n">
        <f aca="false">O226/L226</f>
        <v>0.0266457680250785</v>
      </c>
    </row>
    <row r="227" customFormat="false" ht="13.8" hidden="false" customHeight="false" outlineLevel="0" collapsed="false">
      <c r="A227" s="1" t="s">
        <v>24</v>
      </c>
      <c r="B227" s="1" t="n">
        <v>2</v>
      </c>
      <c r="C227" s="1" t="s">
        <v>72</v>
      </c>
      <c r="D227" s="23" t="n">
        <f aca="false">12.3-9.5</f>
        <v>2.8</v>
      </c>
      <c r="J227" s="25" t="s">
        <v>73</v>
      </c>
      <c r="P227" s="34"/>
      <c r="Q227" s="34"/>
    </row>
    <row r="228" customFormat="false" ht="13.8" hidden="false" customHeight="false" outlineLevel="0" collapsed="false">
      <c r="A228" s="1" t="s">
        <v>24</v>
      </c>
      <c r="B228" s="1" t="n">
        <v>1</v>
      </c>
      <c r="C228" s="1" t="s">
        <v>56</v>
      </c>
      <c r="D228" s="23" t="n">
        <f aca="false">9-6.5</f>
        <v>2.5</v>
      </c>
      <c r="E228" s="22" t="n">
        <v>100</v>
      </c>
      <c r="F228" s="22" t="n">
        <v>0</v>
      </c>
      <c r="G228" s="24" t="n">
        <v>0</v>
      </c>
      <c r="J228" s="25" t="n">
        <v>45742.3618055556</v>
      </c>
      <c r="P228" s="34"/>
      <c r="Q228" s="34"/>
    </row>
    <row r="229" customFormat="false" ht="13.8" hidden="false" customHeight="false" outlineLevel="0" collapsed="false">
      <c r="F229" s="22" t="n">
        <v>0.5</v>
      </c>
      <c r="G229" s="24" t="n">
        <v>6921</v>
      </c>
      <c r="H229" s="24" t="n">
        <f aca="false">(G229-G228)/(F229-F228)</f>
        <v>13842</v>
      </c>
      <c r="P229" s="34"/>
      <c r="Q229" s="34"/>
    </row>
    <row r="230" customFormat="false" ht="13.8" hidden="false" customHeight="false" outlineLevel="0" collapsed="false">
      <c r="F230" s="22" t="n">
        <v>1</v>
      </c>
      <c r="G230" s="24" t="n">
        <v>13775</v>
      </c>
      <c r="H230" s="24" t="n">
        <f aca="false">(G230-G229)/(F230-F229)</f>
        <v>13708</v>
      </c>
      <c r="P230" s="34"/>
      <c r="Q230" s="34"/>
    </row>
    <row r="231" customFormat="false" ht="13.8" hidden="false" customHeight="false" outlineLevel="0" collapsed="false">
      <c r="F231" s="22" t="n">
        <v>2</v>
      </c>
      <c r="G231" s="24" t="n">
        <v>26661</v>
      </c>
      <c r="H231" s="24" t="n">
        <f aca="false">(G231-G230)/(F231-F230)</f>
        <v>12886</v>
      </c>
      <c r="P231" s="34"/>
      <c r="Q231" s="34"/>
    </row>
    <row r="232" customFormat="false" ht="13.8" hidden="false" customHeight="false" outlineLevel="0" collapsed="false">
      <c r="F232" s="22" t="n">
        <v>3</v>
      </c>
      <c r="G232" s="24" t="n">
        <v>39321</v>
      </c>
      <c r="H232" s="24" t="n">
        <f aca="false">(G232-G231)/(F232-F231)</f>
        <v>12660</v>
      </c>
      <c r="P232" s="34"/>
      <c r="Q232" s="34"/>
    </row>
    <row r="233" customFormat="false" ht="13.8" hidden="false" customHeight="false" outlineLevel="0" collapsed="false">
      <c r="F233" s="22" t="n">
        <v>4</v>
      </c>
      <c r="G233" s="24" t="n">
        <v>51537</v>
      </c>
      <c r="H233" s="24" t="n">
        <f aca="false">(G233-G232)/(F233-F232)</f>
        <v>12216</v>
      </c>
      <c r="P233" s="34"/>
      <c r="Q233" s="34"/>
    </row>
    <row r="234" customFormat="false" ht="13.8" hidden="false" customHeight="false" outlineLevel="0" collapsed="false">
      <c r="F234" s="22" t="n">
        <v>0</v>
      </c>
      <c r="G234" s="24" t="n">
        <v>0</v>
      </c>
      <c r="P234" s="34"/>
      <c r="Q234" s="34"/>
    </row>
    <row r="235" customFormat="false" ht="13.8" hidden="false" customHeight="false" outlineLevel="0" collapsed="false">
      <c r="F235" s="22" t="n">
        <v>0.5</v>
      </c>
      <c r="G235" s="24" t="n">
        <v>6020</v>
      </c>
      <c r="H235" s="24" t="n">
        <f aca="false">(G235-G234)/(F235-F234)</f>
        <v>12040</v>
      </c>
      <c r="P235" s="34"/>
      <c r="Q235" s="34"/>
    </row>
    <row r="236" customFormat="false" ht="13.8" hidden="false" customHeight="false" outlineLevel="0" collapsed="false">
      <c r="F236" s="22" t="n">
        <v>1</v>
      </c>
      <c r="G236" s="24" t="n">
        <v>11620</v>
      </c>
      <c r="H236" s="24" t="n">
        <f aca="false">(G236-G235)/(F236-F235)</f>
        <v>11200</v>
      </c>
      <c r="P236" s="34"/>
      <c r="Q236" s="34"/>
    </row>
    <row r="237" customFormat="false" ht="13.8" hidden="false" customHeight="false" outlineLevel="0" collapsed="false">
      <c r="D237" s="23" t="n">
        <v>2.5</v>
      </c>
      <c r="E237" s="22" t="n">
        <v>94.4</v>
      </c>
      <c r="F237" s="22" t="n">
        <v>4</v>
      </c>
      <c r="G237" s="24" t="n">
        <v>44161</v>
      </c>
      <c r="H237" s="24" t="n">
        <f aca="false">(G237-G236)/(F237-F236)</f>
        <v>10847</v>
      </c>
      <c r="K237" s="24" t="n">
        <v>944</v>
      </c>
      <c r="L237" s="31" t="n">
        <f aca="false">H237*0.000000001/60</f>
        <v>1.80783333333333E-007</v>
      </c>
      <c r="M237" s="35" t="n">
        <f aca="false">L237*(1+LN(D237/0.076))/(2*PI()*D237*E237)</f>
        <v>5.4781404018653E-010</v>
      </c>
      <c r="P237" s="34"/>
      <c r="Q237" s="34"/>
    </row>
    <row r="238" customFormat="false" ht="13.8" hidden="false" customHeight="false" outlineLevel="0" collapsed="false">
      <c r="D238" s="23" t="n">
        <v>2.5</v>
      </c>
      <c r="E238" s="22" t="n">
        <v>94.4</v>
      </c>
      <c r="F238" s="22" t="n">
        <v>5</v>
      </c>
      <c r="G238" s="24" t="n">
        <v>54431</v>
      </c>
      <c r="H238" s="24" t="n">
        <f aca="false">(G238-G237)/(F238-F237)</f>
        <v>10270</v>
      </c>
      <c r="K238" s="24" t="n">
        <v>944</v>
      </c>
      <c r="L238" s="31" t="n">
        <f aca="false">H238*0.000000001/60</f>
        <v>1.71166666666667E-007</v>
      </c>
      <c r="M238" s="35" t="n">
        <f aca="false">L238*(1+LN(D238/0.076))/(2*PI()*D238*E238)</f>
        <v>5.18673383674349E-010</v>
      </c>
      <c r="N238" s="36" t="n">
        <f aca="false">AVERAGE(M237:M238)</f>
        <v>5.3324371193044E-010</v>
      </c>
      <c r="O238" s="22" t="n">
        <f aca="false">(MAX(L237:L238) - MIN(L237:L238))  / 3</f>
        <v>3.20555555555534E-009</v>
      </c>
      <c r="P238" s="34" t="n">
        <f aca="false">IF(Q238&lt;&gt;0, Q238, $R$4)</f>
        <v>0.0187276858162921</v>
      </c>
      <c r="Q238" s="34" t="n">
        <f aca="false">O238/L238</f>
        <v>0.0187276858162921</v>
      </c>
    </row>
    <row r="239" customFormat="false" ht="13.8" hidden="false" customHeight="false" outlineLevel="0" collapsed="false">
      <c r="A239" s="1" t="s">
        <v>24</v>
      </c>
      <c r="B239" s="1" t="n">
        <v>0</v>
      </c>
      <c r="C239" s="1" t="s">
        <v>57</v>
      </c>
      <c r="D239" s="23" t="n">
        <f aca="false">5.5-3</f>
        <v>2.5</v>
      </c>
      <c r="E239" s="22" t="n">
        <v>50</v>
      </c>
      <c r="F239" s="22" t="n">
        <v>0</v>
      </c>
      <c r="G239" s="24" t="n">
        <v>0</v>
      </c>
      <c r="J239" s="25" t="n">
        <v>45742.3770833333</v>
      </c>
      <c r="P239" s="34"/>
      <c r="Q239" s="34"/>
    </row>
    <row r="240" customFormat="false" ht="13.8" hidden="false" customHeight="false" outlineLevel="0" collapsed="false">
      <c r="F240" s="22" t="n">
        <v>1</v>
      </c>
      <c r="G240" s="24" t="n">
        <v>2496</v>
      </c>
      <c r="H240" s="24" t="n">
        <f aca="false">(G240-G239)/(F240-F239)</f>
        <v>2496</v>
      </c>
      <c r="P240" s="34"/>
      <c r="Q240" s="34"/>
    </row>
    <row r="241" customFormat="false" ht="13.8" hidden="false" customHeight="false" outlineLevel="0" collapsed="false">
      <c r="F241" s="22" t="n">
        <v>2</v>
      </c>
      <c r="G241" s="24" t="n">
        <v>4801</v>
      </c>
      <c r="H241" s="24" t="n">
        <f aca="false">(G241-G240)/(F241-F240)</f>
        <v>2305</v>
      </c>
      <c r="P241" s="34"/>
      <c r="Q241" s="34"/>
    </row>
    <row r="242" customFormat="false" ht="13.8" hidden="false" customHeight="false" outlineLevel="0" collapsed="false">
      <c r="F242" s="22" t="n">
        <v>3</v>
      </c>
      <c r="G242" s="24" t="n">
        <v>6901</v>
      </c>
      <c r="H242" s="24" t="n">
        <f aca="false">(G242-G241)/(F242-F241)</f>
        <v>2100</v>
      </c>
      <c r="P242" s="34"/>
      <c r="Q242" s="34"/>
    </row>
    <row r="243" customFormat="false" ht="13.8" hidden="false" customHeight="false" outlineLevel="0" collapsed="false">
      <c r="F243" s="22" t="n">
        <v>5</v>
      </c>
      <c r="G243" s="24" t="n">
        <v>10621</v>
      </c>
      <c r="H243" s="24" t="n">
        <f aca="false">(G243-G242)/(F243-F242)</f>
        <v>1860</v>
      </c>
      <c r="P243" s="34"/>
      <c r="Q243" s="34"/>
    </row>
    <row r="244" customFormat="false" ht="13.8" hidden="false" customHeight="false" outlineLevel="0" collapsed="false">
      <c r="F244" s="22" t="n">
        <v>7</v>
      </c>
      <c r="G244" s="24" t="n">
        <v>13706</v>
      </c>
      <c r="H244" s="24" t="n">
        <f aca="false">(G244-G243)/(F244-F243)</f>
        <v>1542.5</v>
      </c>
      <c r="P244" s="34"/>
      <c r="Q244" s="34"/>
    </row>
    <row r="245" customFormat="false" ht="13.8" hidden="false" customHeight="false" outlineLevel="0" collapsed="false">
      <c r="F245" s="22" t="n">
        <v>10</v>
      </c>
      <c r="G245" s="24" t="n">
        <v>17705</v>
      </c>
      <c r="H245" s="24" t="n">
        <f aca="false">(G245-G244)/(F245-F244)</f>
        <v>1333</v>
      </c>
      <c r="P245" s="34"/>
      <c r="Q245" s="34"/>
    </row>
    <row r="246" customFormat="false" ht="13.8" hidden="false" customHeight="false" outlineLevel="0" collapsed="false">
      <c r="F246" s="22" t="n">
        <v>12</v>
      </c>
      <c r="G246" s="24" t="n">
        <v>20102</v>
      </c>
      <c r="H246" s="24" t="n">
        <f aca="false">(G246-G245)/(F246-F245)</f>
        <v>1198.5</v>
      </c>
      <c r="P246" s="34"/>
      <c r="Q246" s="34"/>
    </row>
    <row r="247" customFormat="false" ht="13.8" hidden="false" customHeight="false" outlineLevel="0" collapsed="false">
      <c r="F247" s="22" t="n">
        <v>15</v>
      </c>
      <c r="G247" s="24" t="n">
        <v>23361</v>
      </c>
      <c r="H247" s="24" t="n">
        <f aca="false">(G247-G246)/(F247-F246)</f>
        <v>1086.33333333333</v>
      </c>
      <c r="P247" s="34"/>
      <c r="Q247" s="34"/>
    </row>
    <row r="248" customFormat="false" ht="13.8" hidden="false" customHeight="false" outlineLevel="0" collapsed="false">
      <c r="D248" s="23" t="n">
        <v>2.5</v>
      </c>
      <c r="E248" s="22" t="n">
        <v>46.2</v>
      </c>
      <c r="F248" s="22" t="n">
        <v>17</v>
      </c>
      <c r="G248" s="24" t="n">
        <v>25391</v>
      </c>
      <c r="H248" s="24" t="n">
        <f aca="false">(G248-G247)/(F248-F247)</f>
        <v>1015</v>
      </c>
      <c r="K248" s="24" t="n">
        <v>462</v>
      </c>
      <c r="L248" s="31" t="n">
        <f aca="false">H248*0.000000001/60</f>
        <v>1.69166666666667E-008</v>
      </c>
      <c r="M248" s="35" t="n">
        <f aca="false">L248*(1+LN(D248/0.076))/(2*PI()*D248*E248)</f>
        <v>1.04741690651419E-010</v>
      </c>
      <c r="P248" s="34"/>
      <c r="Q248" s="34"/>
    </row>
    <row r="249" customFormat="false" ht="13.8" hidden="false" customHeight="false" outlineLevel="0" collapsed="false">
      <c r="D249" s="23" t="n">
        <v>2.5</v>
      </c>
      <c r="E249" s="22" t="n">
        <v>46.2</v>
      </c>
      <c r="F249" s="22" t="n">
        <v>20</v>
      </c>
      <c r="G249" s="24" t="n">
        <v>28261</v>
      </c>
      <c r="H249" s="24" t="n">
        <f aca="false">(G249-G248)/(F249-F248)</f>
        <v>956.666666666667</v>
      </c>
      <c r="K249" s="24" t="n">
        <v>462</v>
      </c>
      <c r="L249" s="31" t="n">
        <f aca="false">H249*0.000000001/60</f>
        <v>1.59444444444444E-008</v>
      </c>
      <c r="M249" s="35" t="n">
        <f aca="false">L249*(1+LN(D249/0.076))/(2*PI()*D249*E249)</f>
        <v>9.87220532576594E-011</v>
      </c>
      <c r="N249" s="36" t="n">
        <f aca="false">AVERAGE(M248:M249)</f>
        <v>1.01731871954539E-010</v>
      </c>
      <c r="O249" s="22" t="n">
        <f aca="false">(MAX(L248:L249) - MIN(L248:L249))  / 3</f>
        <v>3.24074074074099E-010</v>
      </c>
      <c r="P249" s="34" t="n">
        <f aca="false">IF(Q249&lt;&gt;0, Q249, $R$4)</f>
        <v>0.0203252032520341</v>
      </c>
      <c r="Q249" s="34" t="n">
        <f aca="false">O249/L249</f>
        <v>0.0203252032520341</v>
      </c>
    </row>
    <row r="250" customFormat="false" ht="13.8" hidden="false" customHeight="false" outlineLevel="0" collapsed="false">
      <c r="A250" s="1" t="s">
        <v>26</v>
      </c>
      <c r="B250" s="1" t="n">
        <v>2</v>
      </c>
      <c r="C250" s="1" t="s">
        <v>69</v>
      </c>
      <c r="D250" s="23" t="n">
        <f aca="false">12-9.5</f>
        <v>2.5</v>
      </c>
      <c r="E250" s="22" t="n">
        <v>50</v>
      </c>
      <c r="F250" s="22" t="n">
        <v>0</v>
      </c>
      <c r="G250" s="24" t="n">
        <v>0</v>
      </c>
      <c r="J250" s="25" t="n">
        <v>45742.3923611111</v>
      </c>
      <c r="P250" s="34"/>
      <c r="Q250" s="34"/>
    </row>
    <row r="251" customFormat="false" ht="13.8" hidden="false" customHeight="false" outlineLevel="0" collapsed="false">
      <c r="F251" s="22" t="n">
        <v>1</v>
      </c>
      <c r="G251" s="24" t="n">
        <v>66</v>
      </c>
      <c r="H251" s="24" t="n">
        <f aca="false">(G251-G250)/(F251-F250)</f>
        <v>66</v>
      </c>
      <c r="P251" s="34"/>
      <c r="Q251" s="34"/>
    </row>
    <row r="252" customFormat="false" ht="13.8" hidden="false" customHeight="false" outlineLevel="0" collapsed="false">
      <c r="F252" s="22" t="n">
        <v>2</v>
      </c>
      <c r="G252" s="24" t="n">
        <v>150</v>
      </c>
      <c r="H252" s="24" t="n">
        <f aca="false">(G252-G251)/(F252-F251)</f>
        <v>84</v>
      </c>
      <c r="P252" s="34"/>
      <c r="Q252" s="34"/>
    </row>
    <row r="253" customFormat="false" ht="13.8" hidden="false" customHeight="false" outlineLevel="0" collapsed="false">
      <c r="F253" s="22" t="n">
        <v>3</v>
      </c>
      <c r="G253" s="24" t="n">
        <v>293</v>
      </c>
      <c r="H253" s="24" t="n">
        <f aca="false">(G253-G252)/(F253-F252)</f>
        <v>143</v>
      </c>
      <c r="P253" s="34"/>
      <c r="Q253" s="34"/>
    </row>
    <row r="254" customFormat="false" ht="13.8" hidden="false" customHeight="false" outlineLevel="0" collapsed="false">
      <c r="F254" s="22" t="n">
        <v>5</v>
      </c>
      <c r="G254" s="24" t="n">
        <v>530</v>
      </c>
      <c r="H254" s="24" t="n">
        <f aca="false">(G254-G253)/(F254-F253)</f>
        <v>118.5</v>
      </c>
      <c r="P254" s="34"/>
      <c r="Q254" s="34"/>
    </row>
    <row r="255" customFormat="false" ht="13.8" hidden="false" customHeight="false" outlineLevel="0" collapsed="false">
      <c r="F255" s="22" t="n">
        <v>7</v>
      </c>
      <c r="G255" s="24" t="n">
        <v>721</v>
      </c>
      <c r="H255" s="24" t="n">
        <f aca="false">(G255-G254)/(F255-F254)</f>
        <v>95.5</v>
      </c>
      <c r="P255" s="34"/>
      <c r="Q255" s="34"/>
    </row>
    <row r="256" customFormat="false" ht="13.8" hidden="false" customHeight="false" outlineLevel="0" collapsed="false">
      <c r="F256" s="22" t="n">
        <v>10</v>
      </c>
      <c r="G256" s="24" t="n">
        <v>1006</v>
      </c>
      <c r="H256" s="24" t="n">
        <f aca="false">(G256-G255)/(F256-F255)</f>
        <v>95</v>
      </c>
      <c r="P256" s="34"/>
      <c r="Q256" s="34"/>
    </row>
    <row r="257" customFormat="false" ht="13.8" hidden="false" customHeight="false" outlineLevel="0" collapsed="false">
      <c r="D257" s="23" t="n">
        <v>2.5</v>
      </c>
      <c r="E257" s="22" t="n">
        <v>50</v>
      </c>
      <c r="F257" s="22" t="n">
        <v>12</v>
      </c>
      <c r="G257" s="24" t="n">
        <v>1173</v>
      </c>
      <c r="H257" s="24" t="n">
        <f aca="false">(G257-G256)/(F257-F256)</f>
        <v>83.5</v>
      </c>
      <c r="K257" s="38" t="n">
        <v>679</v>
      </c>
      <c r="L257" s="31" t="n">
        <f aca="false">H257*0.000000001/60</f>
        <v>1.39166666666667E-009</v>
      </c>
      <c r="M257" s="35" t="n">
        <f aca="false">L257*(1+LN(D257/0.076))/(2*PI()*D257*E257)</f>
        <v>7.96181320248236E-012</v>
      </c>
      <c r="P257" s="34"/>
      <c r="Q257" s="34"/>
    </row>
    <row r="258" customFormat="false" ht="13.8" hidden="false" customHeight="false" outlineLevel="0" collapsed="false">
      <c r="D258" s="23" t="n">
        <v>2.5</v>
      </c>
      <c r="E258" s="22" t="n">
        <v>50</v>
      </c>
      <c r="F258" s="22" t="n">
        <v>15</v>
      </c>
      <c r="G258" s="24" t="n">
        <v>1438</v>
      </c>
      <c r="H258" s="24" t="n">
        <f aca="false">(G258-G257)/(F258-F257)</f>
        <v>88.3333333333333</v>
      </c>
      <c r="K258" s="38" t="n">
        <v>679</v>
      </c>
      <c r="L258" s="31" t="n">
        <f aca="false">H258*0.000000001/60</f>
        <v>1.47222222222222E-009</v>
      </c>
      <c r="M258" s="35" t="n">
        <f aca="false">L258*(1+LN(D258/0.076))/(2*PI()*D258*E258)</f>
        <v>8.4226766413486E-012</v>
      </c>
      <c r="N258" s="36" t="n">
        <f aca="false">AVERAGE(M257:M258)</f>
        <v>8.19224492191548E-012</v>
      </c>
      <c r="O258" s="22" t="n">
        <f aca="false">(MAX(L257:L258) - MIN(L257:L258))  / 3</f>
        <v>2.685185185185E-011</v>
      </c>
      <c r="P258" s="34" t="n">
        <f aca="false">IF(Q258&lt;&gt;0, Q258, $R$4)</f>
        <v>0.0182389937106906</v>
      </c>
      <c r="Q258" s="34" t="n">
        <f aca="false">O258/L258</f>
        <v>0.0182389937106906</v>
      </c>
    </row>
    <row r="259" customFormat="false" ht="13.8" hidden="false" customHeight="false" outlineLevel="0" collapsed="false">
      <c r="F259" s="22" t="n">
        <v>17</v>
      </c>
      <c r="G259" s="24" t="n">
        <v>1642</v>
      </c>
      <c r="H259" s="24" t="n">
        <f aca="false">(G259-G258)/(F259-F258)</f>
        <v>102</v>
      </c>
      <c r="P259" s="34"/>
      <c r="Q259" s="34"/>
    </row>
    <row r="260" customFormat="false" ht="13.8" hidden="false" customHeight="false" outlineLevel="0" collapsed="false">
      <c r="F260" s="22" t="n">
        <v>20</v>
      </c>
      <c r="G260" s="24" t="n">
        <v>1858</v>
      </c>
      <c r="H260" s="24" t="n">
        <f aca="false">(G260-G259)/(F260-F259)</f>
        <v>72</v>
      </c>
      <c r="P260" s="34"/>
      <c r="Q260" s="34"/>
    </row>
    <row r="261" customFormat="false" ht="13.8" hidden="false" customHeight="false" outlineLevel="0" collapsed="false">
      <c r="A261" s="1" t="s">
        <v>26</v>
      </c>
      <c r="B261" s="1" t="n">
        <v>1</v>
      </c>
      <c r="C261" s="1" t="s">
        <v>70</v>
      </c>
      <c r="D261" s="23" t="n">
        <f aca="false">8.5-6.5</f>
        <v>2</v>
      </c>
      <c r="E261" s="22" t="n">
        <v>50</v>
      </c>
      <c r="F261" s="22" t="n">
        <v>0</v>
      </c>
      <c r="G261" s="24" t="n">
        <v>0</v>
      </c>
      <c r="J261" s="25" t="n">
        <v>45742.4097222222</v>
      </c>
      <c r="P261" s="34"/>
      <c r="Q261" s="34"/>
    </row>
    <row r="262" customFormat="false" ht="13.8" hidden="false" customHeight="false" outlineLevel="0" collapsed="false">
      <c r="F262" s="22" t="n">
        <v>1</v>
      </c>
      <c r="G262" s="24" t="n">
        <v>89</v>
      </c>
      <c r="H262" s="24" t="n">
        <f aca="false">(G262-G261)/(F262-F261)</f>
        <v>89</v>
      </c>
      <c r="P262" s="34"/>
      <c r="Q262" s="34"/>
    </row>
    <row r="263" customFormat="false" ht="13.8" hidden="false" customHeight="false" outlineLevel="0" collapsed="false">
      <c r="F263" s="22" t="n">
        <v>2</v>
      </c>
      <c r="G263" s="24" t="n">
        <v>198</v>
      </c>
      <c r="H263" s="24" t="n">
        <f aca="false">(G263-G262)/(F263-F262)</f>
        <v>109</v>
      </c>
      <c r="P263" s="34"/>
      <c r="Q263" s="34"/>
    </row>
    <row r="264" customFormat="false" ht="13.8" hidden="false" customHeight="false" outlineLevel="0" collapsed="false">
      <c r="F264" s="22" t="n">
        <v>3</v>
      </c>
      <c r="G264" s="24" t="n">
        <v>349</v>
      </c>
      <c r="H264" s="24" t="n">
        <f aca="false">(G264-G263)/(F264-F263)</f>
        <v>151</v>
      </c>
      <c r="P264" s="34"/>
      <c r="Q264" s="34"/>
    </row>
    <row r="265" customFormat="false" ht="13.8" hidden="false" customHeight="false" outlineLevel="0" collapsed="false">
      <c r="F265" s="22" t="n">
        <v>5</v>
      </c>
      <c r="G265" s="24" t="n">
        <v>661</v>
      </c>
      <c r="H265" s="24" t="n">
        <f aca="false">(G265-G264)/(F265-F264)</f>
        <v>156</v>
      </c>
      <c r="P265" s="34"/>
      <c r="Q265" s="34"/>
    </row>
    <row r="266" customFormat="false" ht="13.8" hidden="false" customHeight="false" outlineLevel="0" collapsed="false">
      <c r="F266" s="22" t="n">
        <v>7</v>
      </c>
      <c r="G266" s="24" t="n">
        <v>943</v>
      </c>
      <c r="H266" s="24" t="n">
        <f aca="false">(G266-G265)/(F266-F265)</f>
        <v>141</v>
      </c>
      <c r="P266" s="34"/>
      <c r="Q266" s="34"/>
    </row>
    <row r="267" customFormat="false" ht="13.8" hidden="false" customHeight="false" outlineLevel="0" collapsed="false">
      <c r="F267" s="22" t="n">
        <v>10</v>
      </c>
      <c r="G267" s="24" t="n">
        <v>1351</v>
      </c>
      <c r="H267" s="24" t="n">
        <f aca="false">(G267-G266)/(F267-F266)</f>
        <v>136</v>
      </c>
      <c r="P267" s="34"/>
      <c r="Q267" s="34"/>
    </row>
    <row r="268" customFormat="false" ht="13.8" hidden="false" customHeight="false" outlineLevel="0" collapsed="false">
      <c r="F268" s="22" t="n">
        <v>12</v>
      </c>
      <c r="G268" s="24" t="n">
        <v>1579</v>
      </c>
      <c r="H268" s="24" t="n">
        <f aca="false">(G268-G267)/(F268-F267)</f>
        <v>114</v>
      </c>
      <c r="P268" s="34"/>
      <c r="Q268" s="34"/>
    </row>
    <row r="269" customFormat="false" ht="13.8" hidden="false" customHeight="false" outlineLevel="0" collapsed="false">
      <c r="F269" s="22" t="n">
        <v>15</v>
      </c>
      <c r="G269" s="24" t="n">
        <v>1938</v>
      </c>
      <c r="H269" s="24" t="n">
        <f aca="false">(G269-G268)/(F269-F268)</f>
        <v>119.666666666667</v>
      </c>
      <c r="P269" s="34"/>
      <c r="Q269" s="34"/>
    </row>
    <row r="270" customFormat="false" ht="13.8" hidden="false" customHeight="false" outlineLevel="0" collapsed="false">
      <c r="D270" s="23" t="n">
        <v>2</v>
      </c>
      <c r="E270" s="22" t="n">
        <v>49.8</v>
      </c>
      <c r="F270" s="22" t="n">
        <v>17</v>
      </c>
      <c r="G270" s="24" t="n">
        <v>2143</v>
      </c>
      <c r="H270" s="24" t="n">
        <f aca="false">(G270-G269)/(F270-F269)</f>
        <v>102.5</v>
      </c>
      <c r="K270" s="24" t="n">
        <v>498</v>
      </c>
      <c r="L270" s="31" t="n">
        <f aca="false">H270*0.000000001/60</f>
        <v>1.70833333333333E-009</v>
      </c>
      <c r="M270" s="35" t="n">
        <f aca="false">L270*(1+LN(D270/0.076))/(2*PI()*D270*E270)</f>
        <v>1.16567768782985E-011</v>
      </c>
      <c r="P270" s="34"/>
      <c r="Q270" s="34"/>
    </row>
    <row r="271" customFormat="false" ht="13.8" hidden="false" customHeight="false" outlineLevel="0" collapsed="false">
      <c r="D271" s="23" t="n">
        <v>2</v>
      </c>
      <c r="E271" s="22" t="n">
        <v>49.8</v>
      </c>
      <c r="F271" s="22" t="n">
        <v>20</v>
      </c>
      <c r="G271" s="24" t="n">
        <v>2484</v>
      </c>
      <c r="H271" s="24" t="n">
        <f aca="false">(G271-G270)/(F271-F270)</f>
        <v>113.666666666667</v>
      </c>
      <c r="K271" s="24" t="n">
        <v>498</v>
      </c>
      <c r="L271" s="31" t="n">
        <f aca="false">H271*0.000000001/60</f>
        <v>1.89444444444444E-009</v>
      </c>
      <c r="M271" s="35" t="n">
        <f aca="false">L271*(1+LN(D271/0.076))/(2*PI()*D271*E271)</f>
        <v>1.29267021642269E-011</v>
      </c>
      <c r="N271" s="36" t="n">
        <f aca="false">AVERAGE(M270:M271)</f>
        <v>1.22917395212627E-011</v>
      </c>
      <c r="O271" s="22" t="n">
        <f aca="false">(MAX(L270:L271) - MIN(L270:L271))  / 3</f>
        <v>6.20370370370367E-011</v>
      </c>
      <c r="P271" s="34" t="n">
        <f aca="false">IF(Q271&lt;&gt;0, Q271, $R$4)</f>
        <v>0.0327468230694036</v>
      </c>
      <c r="Q271" s="34" t="n">
        <f aca="false">O271/L271</f>
        <v>0.0327468230694036</v>
      </c>
    </row>
    <row r="272" customFormat="false" ht="13.8" hidden="false" customHeight="false" outlineLevel="0" collapsed="false">
      <c r="A272" s="1" t="s">
        <v>26</v>
      </c>
      <c r="B272" s="1" t="n">
        <v>0</v>
      </c>
      <c r="C272" s="1" t="s">
        <v>57</v>
      </c>
      <c r="D272" s="23" t="n">
        <f aca="false">5.5-3</f>
        <v>2.5</v>
      </c>
      <c r="E272" s="22" t="n">
        <v>50</v>
      </c>
      <c r="F272" s="22" t="n">
        <v>0</v>
      </c>
      <c r="G272" s="24" t="n">
        <v>0</v>
      </c>
      <c r="J272" s="25" t="n">
        <v>45742.4263888889</v>
      </c>
      <c r="P272" s="34"/>
      <c r="Q272" s="34"/>
    </row>
    <row r="273" customFormat="false" ht="13.8" hidden="false" customHeight="false" outlineLevel="0" collapsed="false">
      <c r="F273" s="22" t="n">
        <v>1</v>
      </c>
      <c r="G273" s="24" t="n">
        <v>63</v>
      </c>
      <c r="H273" s="24" t="n">
        <f aca="false">(G273-G272)/(F273-F272)</f>
        <v>63</v>
      </c>
      <c r="P273" s="34"/>
      <c r="Q273" s="34"/>
    </row>
    <row r="274" customFormat="false" ht="13.8" hidden="false" customHeight="false" outlineLevel="0" collapsed="false">
      <c r="F274" s="22" t="n">
        <v>3</v>
      </c>
      <c r="G274" s="24" t="n">
        <v>186</v>
      </c>
      <c r="H274" s="24" t="n">
        <f aca="false">(G274-G273)/(F274-F273)</f>
        <v>61.5</v>
      </c>
      <c r="P274" s="34"/>
      <c r="Q274" s="34"/>
    </row>
    <row r="275" customFormat="false" ht="13.8" hidden="false" customHeight="false" outlineLevel="0" collapsed="false">
      <c r="F275" s="22" t="n">
        <v>5</v>
      </c>
      <c r="G275" s="24" t="n">
        <v>314</v>
      </c>
      <c r="H275" s="24" t="n">
        <f aca="false">(G275-G274)/(F275-F274)</f>
        <v>64</v>
      </c>
      <c r="P275" s="34"/>
      <c r="Q275" s="34"/>
    </row>
    <row r="276" customFormat="false" ht="13.8" hidden="false" customHeight="false" outlineLevel="0" collapsed="false">
      <c r="D276" s="23" t="n">
        <v>2.5</v>
      </c>
      <c r="E276" s="22" t="n">
        <v>47.8</v>
      </c>
      <c r="F276" s="22" t="n">
        <v>7</v>
      </c>
      <c r="G276" s="24" t="n">
        <v>395</v>
      </c>
      <c r="H276" s="24" t="n">
        <f aca="false">(G276-G275)/(F276-F275)</f>
        <v>40.5</v>
      </c>
      <c r="K276" s="24" t="n">
        <v>478</v>
      </c>
      <c r="L276" s="31" t="n">
        <f aca="false">H276*0.000000001/60</f>
        <v>6.75E-010</v>
      </c>
      <c r="M276" s="35" t="n">
        <f aca="false">L276*(1+LN(D276/0.076))/(2*PI()*D276*E276)</f>
        <v>4.03945374565349E-012</v>
      </c>
      <c r="P276" s="34"/>
      <c r="Q276" s="34"/>
    </row>
    <row r="277" customFormat="false" ht="13.8" hidden="false" customHeight="false" outlineLevel="0" collapsed="false">
      <c r="D277" s="23" t="n">
        <v>2.5</v>
      </c>
      <c r="E277" s="22" t="n">
        <v>47.8</v>
      </c>
      <c r="F277" s="22" t="n">
        <v>70</v>
      </c>
      <c r="G277" s="24" t="n">
        <v>2964</v>
      </c>
      <c r="H277" s="24" t="n">
        <f aca="false">(G277-G276)/(F277-F276)</f>
        <v>40.7777777777778</v>
      </c>
      <c r="K277" s="24" t="n">
        <v>478</v>
      </c>
      <c r="L277" s="31" t="n">
        <f aca="false">H277*0.000000001/60</f>
        <v>6.7962962962963E-010</v>
      </c>
      <c r="M277" s="35" t="n">
        <f aca="false">L277*(1+LN(D277/0.076))/(2*PI()*D277*E277)</f>
        <v>4.06715918972519E-012</v>
      </c>
      <c r="N277" s="36" t="n">
        <f aca="false">AVERAGE(M276:M277)</f>
        <v>4.05330646768934E-012</v>
      </c>
      <c r="O277" s="22" t="n">
        <f aca="false">(MAX(L276:L277) - MIN(L77:L276))  / 3</f>
        <v>1.54320987654321E-010</v>
      </c>
      <c r="P277" s="34" t="n">
        <f aca="false">IF(Q277&lt;&gt;0, Q277, $R$4)</f>
        <v>0.227066303360581</v>
      </c>
      <c r="Q277" s="34" t="n">
        <f aca="false">O277/L277</f>
        <v>0.227066303360581</v>
      </c>
    </row>
    <row r="278" customFormat="false" ht="13.8" hidden="false" customHeight="false" outlineLevel="0" collapsed="false">
      <c r="A278" s="1" t="s">
        <v>19</v>
      </c>
      <c r="B278" s="1" t="n">
        <v>2</v>
      </c>
      <c r="C278" s="1" t="s">
        <v>74</v>
      </c>
      <c r="D278" s="23" t="n">
        <f aca="false">15.7-14</f>
        <v>1.7</v>
      </c>
      <c r="J278" s="25" t="s">
        <v>75</v>
      </c>
      <c r="P278" s="34"/>
      <c r="Q278" s="34"/>
    </row>
    <row r="279" customFormat="false" ht="13.8" hidden="false" customHeight="false" outlineLevel="0" collapsed="false">
      <c r="A279" s="1" t="s">
        <v>19</v>
      </c>
      <c r="B279" s="1" t="n">
        <v>1</v>
      </c>
      <c r="C279" s="1" t="s">
        <v>76</v>
      </c>
      <c r="D279" s="23" t="n">
        <f aca="false">13-10.5</f>
        <v>2.5</v>
      </c>
      <c r="J279" s="25" t="s">
        <v>77</v>
      </c>
      <c r="P279" s="34"/>
      <c r="Q279" s="34"/>
    </row>
    <row r="280" customFormat="false" ht="13.8" hidden="false" customHeight="false" outlineLevel="0" collapsed="false">
      <c r="A280" s="39" t="s">
        <v>19</v>
      </c>
      <c r="B280" s="39" t="n">
        <v>0</v>
      </c>
      <c r="C280" s="39" t="s">
        <v>78</v>
      </c>
      <c r="D280" s="40" t="n">
        <f aca="false">9.5-8</f>
        <v>1.5</v>
      </c>
      <c r="E280" s="41"/>
      <c r="F280" s="41"/>
      <c r="G280" s="42"/>
      <c r="H280" s="42"/>
      <c r="I280" s="40"/>
      <c r="J280" s="43"/>
      <c r="K280" s="42"/>
      <c r="L280" s="41"/>
      <c r="M280" s="41"/>
      <c r="N280" s="41"/>
      <c r="P280" s="34"/>
      <c r="Q280" s="34"/>
    </row>
    <row r="281" customFormat="false" ht="13.8" hidden="false" customHeight="false" outlineLevel="0" collapsed="false">
      <c r="A281" s="1" t="s">
        <v>24</v>
      </c>
      <c r="B281" s="1"/>
      <c r="C281" s="1" t="s">
        <v>72</v>
      </c>
      <c r="D281" s="23" t="n">
        <f aca="false">12.3-9.5</f>
        <v>2.8</v>
      </c>
      <c r="E281" s="22" t="n">
        <v>50</v>
      </c>
      <c r="F281" s="22" t="n">
        <v>0</v>
      </c>
      <c r="G281" s="24" t="n">
        <v>0</v>
      </c>
      <c r="J281" s="25" t="n">
        <v>45755.3881944444</v>
      </c>
      <c r="P281" s="34"/>
      <c r="Q281" s="34"/>
    </row>
    <row r="282" customFormat="false" ht="13.8" hidden="false" customHeight="false" outlineLevel="0" collapsed="false">
      <c r="F282" s="22" t="n">
        <v>1</v>
      </c>
      <c r="G282" s="24" t="n">
        <v>9927</v>
      </c>
      <c r="H282" s="24" t="n">
        <f aca="false">(G282-G281)/(F282-F281)</f>
        <v>9927</v>
      </c>
      <c r="P282" s="34"/>
      <c r="Q282" s="34"/>
    </row>
    <row r="283" customFormat="false" ht="13.8" hidden="false" customHeight="false" outlineLevel="0" collapsed="false">
      <c r="F283" s="22" t="n">
        <v>2</v>
      </c>
      <c r="G283" s="24" t="n">
        <v>16920</v>
      </c>
      <c r="H283" s="24" t="n">
        <f aca="false">(G283-G282)/(F283-F282)</f>
        <v>6993</v>
      </c>
      <c r="P283" s="34"/>
      <c r="Q283" s="34"/>
    </row>
    <row r="284" customFormat="false" ht="13.8" hidden="false" customHeight="false" outlineLevel="0" collapsed="false">
      <c r="F284" s="22" t="n">
        <v>3</v>
      </c>
      <c r="G284" s="24" t="n">
        <v>22670</v>
      </c>
      <c r="H284" s="24" t="n">
        <f aca="false">(G284-G283)/(F284-F283)</f>
        <v>5750</v>
      </c>
      <c r="P284" s="34"/>
      <c r="Q284" s="34"/>
    </row>
    <row r="285" customFormat="false" ht="13.8" hidden="false" customHeight="false" outlineLevel="0" collapsed="false">
      <c r="F285" s="22" t="n">
        <v>4</v>
      </c>
      <c r="G285" s="24" t="n">
        <v>27728</v>
      </c>
      <c r="H285" s="24" t="n">
        <f aca="false">(G285-G284)/(F285-F284)</f>
        <v>5058</v>
      </c>
      <c r="P285" s="34"/>
      <c r="Q285" s="34"/>
    </row>
    <row r="286" customFormat="false" ht="13.8" hidden="false" customHeight="false" outlineLevel="0" collapsed="false">
      <c r="F286" s="22" t="n">
        <v>9</v>
      </c>
      <c r="G286" s="24" t="n">
        <v>53257</v>
      </c>
      <c r="H286" s="24" t="n">
        <f aca="false">(G286-G285)/(F286-F285)</f>
        <v>5105.8</v>
      </c>
      <c r="P286" s="34"/>
      <c r="Q286" s="34"/>
    </row>
    <row r="287" customFormat="false" ht="13.8" hidden="false" customHeight="false" outlineLevel="0" collapsed="false">
      <c r="D287" s="23" t="n">
        <v>2.8</v>
      </c>
      <c r="E287" s="22" t="n">
        <v>49.1</v>
      </c>
      <c r="F287" s="22" t="n">
        <v>11</v>
      </c>
      <c r="G287" s="24" t="n">
        <v>62678</v>
      </c>
      <c r="H287" s="24" t="n">
        <f aca="false">(G287-G286)/(F287-F286)</f>
        <v>4710.5</v>
      </c>
      <c r="K287" s="24" t="n">
        <v>491</v>
      </c>
      <c r="L287" s="31" t="n">
        <f aca="false">H287*0.000000001/60</f>
        <v>7.85083333333333E-008</v>
      </c>
      <c r="M287" s="35" t="n">
        <f aca="false">L287*(1+LN(D287/0.076))/(2*PI()*D287*E287)</f>
        <v>4.1867860460247E-010</v>
      </c>
      <c r="P287" s="34"/>
      <c r="Q287" s="34"/>
    </row>
    <row r="288" customFormat="false" ht="13.8" hidden="false" customHeight="false" outlineLevel="0" collapsed="false">
      <c r="D288" s="23" t="n">
        <v>2.8</v>
      </c>
      <c r="E288" s="22" t="n">
        <v>49.1</v>
      </c>
      <c r="F288" s="22" t="n">
        <v>13</v>
      </c>
      <c r="G288" s="24" t="n">
        <v>72267</v>
      </c>
      <c r="H288" s="24" t="n">
        <f aca="false">(G288-G287)/(F288-F287)</f>
        <v>4794.5</v>
      </c>
      <c r="K288" s="24" t="n">
        <v>491</v>
      </c>
      <c r="L288" s="31" t="n">
        <f aca="false">H288*0.000000001/60</f>
        <v>7.99083333333334E-008</v>
      </c>
      <c r="M288" s="35" t="n">
        <f aca="false">L288*(1+LN(D288/0.076))/(2*PI()*D288*E288)</f>
        <v>4.26144691596761E-010</v>
      </c>
      <c r="P288" s="34"/>
      <c r="Q288" s="34"/>
    </row>
    <row r="289" customFormat="false" ht="13.8" hidden="false" customHeight="false" outlineLevel="0" collapsed="false">
      <c r="D289" s="23" t="n">
        <v>2.8</v>
      </c>
      <c r="E289" s="22" t="n">
        <v>49.1</v>
      </c>
      <c r="F289" s="22" t="n">
        <v>15</v>
      </c>
      <c r="G289" s="24" t="n">
        <v>81623</v>
      </c>
      <c r="H289" s="24" t="n">
        <f aca="false">(G289-G288)/(F289-F288)</f>
        <v>4678</v>
      </c>
      <c r="K289" s="24" t="n">
        <v>491</v>
      </c>
      <c r="L289" s="31" t="n">
        <f aca="false">H289*0.000000001/60</f>
        <v>7.79666666666667E-008</v>
      </c>
      <c r="M289" s="35" t="n">
        <f aca="false">L289*(1+LN(D289/0.076))/(2*PI()*D289*E289)</f>
        <v>4.15789939991583E-010</v>
      </c>
      <c r="N289" s="36" t="n">
        <f aca="false">AVERAGE(M287:M289)</f>
        <v>4.20204412063605E-010</v>
      </c>
      <c r="O289" s="22" t="n">
        <f aca="false">(MAX(L287:L289) - MIN(L287:L289))  / 3</f>
        <v>6.47222222222234E-010</v>
      </c>
      <c r="P289" s="34" t="n">
        <f aca="false">IF(Q289&lt;&gt;0, Q289, $R$4)</f>
        <v>0.00830126834829714</v>
      </c>
      <c r="Q289" s="34" t="n">
        <f aca="false">O289/L289</f>
        <v>0.00830126834829714</v>
      </c>
    </row>
    <row r="290" customFormat="false" ht="13.8" hidden="false" customHeight="false" outlineLevel="0" collapsed="false">
      <c r="A290" s="1" t="s">
        <v>19</v>
      </c>
      <c r="B290" s="1" t="n">
        <v>2</v>
      </c>
      <c r="C290" s="1" t="s">
        <v>74</v>
      </c>
      <c r="D290" s="23" t="n">
        <f aca="false">15.7-14</f>
        <v>1.7</v>
      </c>
      <c r="E290" s="22" t="n">
        <v>100</v>
      </c>
      <c r="F290" s="22" t="n">
        <v>0</v>
      </c>
      <c r="G290" s="24" t="n">
        <v>0</v>
      </c>
      <c r="J290" s="25" t="n">
        <v>45755.4020833333</v>
      </c>
      <c r="P290" s="34"/>
      <c r="Q290" s="34"/>
    </row>
    <row r="291" customFormat="false" ht="13.8" hidden="false" customHeight="false" outlineLevel="0" collapsed="false">
      <c r="F291" s="22" t="n">
        <v>1</v>
      </c>
      <c r="G291" s="24" t="n">
        <v>110</v>
      </c>
      <c r="H291" s="24" t="n">
        <f aca="false">(G291-G290)/(F291-F290)</f>
        <v>110</v>
      </c>
      <c r="P291" s="34"/>
      <c r="Q291" s="34"/>
    </row>
    <row r="292" customFormat="false" ht="13.8" hidden="false" customHeight="false" outlineLevel="0" collapsed="false">
      <c r="F292" s="22" t="n">
        <v>2</v>
      </c>
      <c r="G292" s="24" t="n">
        <v>179</v>
      </c>
      <c r="H292" s="24" t="n">
        <f aca="false">(G292-G291)/(F292-F291)</f>
        <v>69</v>
      </c>
      <c r="P292" s="34"/>
      <c r="Q292" s="34"/>
    </row>
    <row r="293" customFormat="false" ht="13.8" hidden="false" customHeight="false" outlineLevel="0" collapsed="false">
      <c r="F293" s="22" t="n">
        <v>3</v>
      </c>
      <c r="G293" s="24" t="n">
        <v>226</v>
      </c>
      <c r="H293" s="24" t="n">
        <f aca="false">(G293-G292)/(F293-F292)</f>
        <v>47</v>
      </c>
      <c r="P293" s="34"/>
      <c r="Q293" s="34"/>
    </row>
    <row r="294" customFormat="false" ht="13.8" hidden="false" customHeight="false" outlineLevel="0" collapsed="false">
      <c r="F294" s="22" t="n">
        <v>4</v>
      </c>
      <c r="G294" s="24" t="n">
        <v>264</v>
      </c>
      <c r="H294" s="24" t="n">
        <f aca="false">(G294-G293)/(F294-F293)</f>
        <v>38</v>
      </c>
      <c r="P294" s="34"/>
      <c r="Q294" s="34"/>
    </row>
    <row r="295" customFormat="false" ht="13.8" hidden="false" customHeight="false" outlineLevel="0" collapsed="false">
      <c r="F295" s="22" t="n">
        <v>5</v>
      </c>
      <c r="G295" s="24" t="n">
        <v>295</v>
      </c>
      <c r="H295" s="24" t="n">
        <f aca="false">(G295-G294)/(F295-F294)</f>
        <v>31</v>
      </c>
      <c r="P295" s="34"/>
      <c r="Q295" s="34"/>
    </row>
    <row r="296" customFormat="false" ht="13.8" hidden="false" customHeight="false" outlineLevel="0" collapsed="false">
      <c r="F296" s="22" t="n">
        <v>10</v>
      </c>
      <c r="G296" s="24" t="n">
        <v>404</v>
      </c>
      <c r="H296" s="24" t="n">
        <f aca="false">(G296-G295)/(F296-F295)</f>
        <v>21.8</v>
      </c>
      <c r="P296" s="34"/>
      <c r="Q296" s="34"/>
    </row>
    <row r="297" customFormat="false" ht="13.8" hidden="false" customHeight="false" outlineLevel="0" collapsed="false">
      <c r="F297" s="22" t="n">
        <v>15</v>
      </c>
      <c r="G297" s="24" t="n">
        <v>469</v>
      </c>
      <c r="H297" s="24" t="n">
        <f aca="false">(G297-G296)/(F297-F296)</f>
        <v>13</v>
      </c>
      <c r="P297" s="34"/>
      <c r="Q297" s="34"/>
    </row>
    <row r="298" customFormat="false" ht="13.8" hidden="false" customHeight="false" outlineLevel="0" collapsed="false">
      <c r="F298" s="22" t="n">
        <v>20</v>
      </c>
      <c r="G298" s="24" t="n">
        <v>522</v>
      </c>
      <c r="H298" s="24" t="n">
        <f aca="false">(G298-G297)/(F298-F297)</f>
        <v>10.6</v>
      </c>
      <c r="P298" s="34"/>
      <c r="Q298" s="34"/>
    </row>
    <row r="299" customFormat="false" ht="13.8" hidden="false" customHeight="false" outlineLevel="0" collapsed="false">
      <c r="D299" s="23" t="n">
        <v>1.7</v>
      </c>
      <c r="E299" s="22" t="n">
        <v>97.1</v>
      </c>
      <c r="F299" s="22" t="n">
        <v>25</v>
      </c>
      <c r="G299" s="24" t="n">
        <v>562</v>
      </c>
      <c r="H299" s="24" t="n">
        <f aca="false">(G299-G298)/(F299-F298)</f>
        <v>8</v>
      </c>
      <c r="K299" s="24" t="n">
        <v>971</v>
      </c>
      <c r="L299" s="31" t="n">
        <f aca="false">H299*0.000000001/60</f>
        <v>1.33333333333333E-010</v>
      </c>
      <c r="M299" s="35" t="n">
        <f aca="false">L299*(1+LN(D299/0.076))/(2*PI()*D299*E299)</f>
        <v>5.2806109100571E-013</v>
      </c>
      <c r="P299" s="34"/>
      <c r="Q299" s="34"/>
    </row>
    <row r="300" customFormat="false" ht="13.8" hidden="false" customHeight="false" outlineLevel="0" collapsed="false">
      <c r="D300" s="23" t="n">
        <v>1.7</v>
      </c>
      <c r="E300" s="22" t="n">
        <v>97.1</v>
      </c>
      <c r="F300" s="22" t="n">
        <v>30</v>
      </c>
      <c r="G300" s="24" t="n">
        <v>600</v>
      </c>
      <c r="H300" s="24" t="n">
        <f aca="false">(G300-G299)/(F300-F299)</f>
        <v>7.6</v>
      </c>
      <c r="K300" s="24" t="n">
        <v>971</v>
      </c>
      <c r="L300" s="31" t="n">
        <f aca="false">H300*0.000000001/60</f>
        <v>1.26666666666667E-010</v>
      </c>
      <c r="M300" s="35" t="n">
        <f aca="false">L300*(1+LN(D300/0.076))/(2*PI()*D300*E300)</f>
        <v>5.01658036455424E-013</v>
      </c>
      <c r="P300" s="34"/>
      <c r="Q300" s="34"/>
    </row>
    <row r="301" customFormat="false" ht="13.8" hidden="false" customHeight="false" outlineLevel="0" collapsed="false">
      <c r="D301" s="23" t="n">
        <v>1.7</v>
      </c>
      <c r="E301" s="22" t="n">
        <v>97.1</v>
      </c>
      <c r="F301" s="22" t="n">
        <v>35</v>
      </c>
      <c r="G301" s="24" t="n">
        <v>634</v>
      </c>
      <c r="H301" s="24" t="n">
        <f aca="false">(G301-G300)/(F301-F300)</f>
        <v>6.8</v>
      </c>
      <c r="K301" s="24" t="n">
        <v>971</v>
      </c>
      <c r="L301" s="31" t="n">
        <f aca="false">H301*0.000000001/60</f>
        <v>1.13333333333333E-010</v>
      </c>
      <c r="M301" s="35" t="n">
        <f aca="false">L301*(1+LN(D301/0.076))/(2*PI()*D301*E301)</f>
        <v>4.48851927354853E-013</v>
      </c>
      <c r="N301" s="36" t="n">
        <f aca="false">AVERAGE(M299:M301)</f>
        <v>4.92857018271996E-013</v>
      </c>
      <c r="O301" s="22" t="n">
        <f aca="false">(MAX(L299:L301) - MIN(L299:L301))  / 3</f>
        <v>6.66666666666667E-012</v>
      </c>
      <c r="P301" s="34" t="n">
        <f aca="false">IF(Q301&lt;&gt;0, Q301, $R$4)</f>
        <v>0.0588235294117649</v>
      </c>
      <c r="Q301" s="34" t="n">
        <f aca="false">O301/L301</f>
        <v>0.0588235294117649</v>
      </c>
    </row>
    <row r="302" customFormat="false" ht="13.8" hidden="false" customHeight="false" outlineLevel="0" collapsed="false">
      <c r="A302" s="1" t="s">
        <v>19</v>
      </c>
      <c r="B302" s="1" t="n">
        <v>1</v>
      </c>
      <c r="C302" s="1" t="s">
        <v>76</v>
      </c>
      <c r="D302" s="23" t="n">
        <f aca="false">13-10.5</f>
        <v>2.5</v>
      </c>
      <c r="E302" s="22" t="n">
        <v>100</v>
      </c>
      <c r="F302" s="22" t="n">
        <v>0</v>
      </c>
      <c r="G302" s="24" t="n">
        <v>0</v>
      </c>
      <c r="J302" s="25" t="n">
        <v>45755.4298611111</v>
      </c>
      <c r="L302" s="31"/>
      <c r="M302" s="35"/>
      <c r="P302" s="34"/>
    </row>
    <row r="303" customFormat="false" ht="13.8" hidden="false" customHeight="false" outlineLevel="0" collapsed="false">
      <c r="F303" s="22" t="n">
        <v>1</v>
      </c>
      <c r="G303" s="24" t="n">
        <v>476</v>
      </c>
      <c r="H303" s="24" t="n">
        <f aca="false">(G303-G302)/(F303-F302)</f>
        <v>476</v>
      </c>
      <c r="P303" s="34"/>
    </row>
    <row r="304" customFormat="false" ht="13.8" hidden="false" customHeight="false" outlineLevel="0" collapsed="false">
      <c r="F304" s="22" t="n">
        <v>2</v>
      </c>
      <c r="G304" s="24" t="n">
        <v>863</v>
      </c>
      <c r="H304" s="24" t="n">
        <f aca="false">(G304-G303)/(F304-F303)</f>
        <v>387</v>
      </c>
      <c r="P304" s="34"/>
    </row>
    <row r="305" customFormat="false" ht="13.8" hidden="false" customHeight="false" outlineLevel="0" collapsed="false">
      <c r="F305" s="22" t="n">
        <v>3</v>
      </c>
      <c r="G305" s="24" t="n">
        <v>1265</v>
      </c>
      <c r="H305" s="24" t="n">
        <f aca="false">(G305-G304)/(F305-F304)</f>
        <v>402</v>
      </c>
      <c r="P305" s="34"/>
    </row>
    <row r="306" customFormat="false" ht="13.8" hidden="false" customHeight="false" outlineLevel="0" collapsed="false">
      <c r="F306" s="22" t="n">
        <v>4</v>
      </c>
      <c r="G306" s="24" t="n">
        <v>1626</v>
      </c>
      <c r="H306" s="24" t="n">
        <f aca="false">(G306-G305)/(F306-F305)</f>
        <v>361</v>
      </c>
      <c r="P306" s="34"/>
    </row>
    <row r="307" customFormat="false" ht="13.8" hidden="false" customHeight="false" outlineLevel="0" collapsed="false">
      <c r="F307" s="22" t="n">
        <v>5</v>
      </c>
      <c r="G307" s="24" t="n">
        <v>1983</v>
      </c>
      <c r="H307" s="24" t="n">
        <f aca="false">(G307-G306)/(F307-F306)</f>
        <v>357</v>
      </c>
      <c r="P307" s="34"/>
    </row>
    <row r="308" customFormat="false" ht="13.8" hidden="false" customHeight="false" outlineLevel="0" collapsed="false">
      <c r="F308" s="22" t="n">
        <v>6</v>
      </c>
      <c r="G308" s="24" t="n">
        <v>2323</v>
      </c>
      <c r="H308" s="24" t="n">
        <f aca="false">(G308-G307)/(F308-F307)</f>
        <v>340</v>
      </c>
      <c r="P308" s="34"/>
    </row>
    <row r="309" customFormat="false" ht="13.8" hidden="false" customHeight="false" outlineLevel="0" collapsed="false">
      <c r="F309" s="22" t="n">
        <v>7</v>
      </c>
      <c r="G309" s="24" t="n">
        <v>2642</v>
      </c>
      <c r="H309" s="24" t="n">
        <f aca="false">(G309-G308)/(F309-F308)</f>
        <v>319</v>
      </c>
      <c r="P309" s="34"/>
    </row>
    <row r="310" customFormat="false" ht="13.8" hidden="false" customHeight="false" outlineLevel="0" collapsed="false">
      <c r="F310" s="22" t="n">
        <v>8</v>
      </c>
      <c r="G310" s="24" t="n">
        <v>2967</v>
      </c>
      <c r="H310" s="24" t="n">
        <f aca="false">(G310-G309)/(F310-F309)</f>
        <v>325</v>
      </c>
      <c r="P310" s="34"/>
    </row>
    <row r="311" customFormat="false" ht="13.8" hidden="false" customHeight="false" outlineLevel="0" collapsed="false">
      <c r="F311" s="22" t="n">
        <v>9</v>
      </c>
      <c r="G311" s="24" t="n">
        <v>3276</v>
      </c>
      <c r="H311" s="24" t="n">
        <f aca="false">(G311-G310)/(F311-F310)</f>
        <v>309</v>
      </c>
      <c r="P311" s="34"/>
    </row>
    <row r="312" customFormat="false" ht="13.8" hidden="false" customHeight="false" outlineLevel="0" collapsed="false">
      <c r="F312" s="22" t="n">
        <v>10</v>
      </c>
      <c r="G312" s="24" t="n">
        <v>3592</v>
      </c>
      <c r="H312" s="24" t="n">
        <f aca="false">(G312-G311)/(F312-F311)</f>
        <v>316</v>
      </c>
      <c r="P312" s="34"/>
    </row>
    <row r="313" customFormat="false" ht="13.8" hidden="false" customHeight="false" outlineLevel="0" collapsed="false">
      <c r="F313" s="22" t="n">
        <v>11</v>
      </c>
      <c r="G313" s="24" t="n">
        <v>3885</v>
      </c>
      <c r="H313" s="24" t="n">
        <f aca="false">(G313-G312)/(F313-F312)</f>
        <v>293</v>
      </c>
      <c r="P313" s="34"/>
    </row>
    <row r="314" customFormat="false" ht="13.8" hidden="false" customHeight="false" outlineLevel="0" collapsed="false">
      <c r="F314" s="22" t="n">
        <v>12</v>
      </c>
      <c r="G314" s="24" t="n">
        <v>4187</v>
      </c>
      <c r="H314" s="24" t="n">
        <f aca="false">(G314-G313)/(F314-F313)</f>
        <v>302</v>
      </c>
      <c r="P314" s="34"/>
    </row>
    <row r="315" customFormat="false" ht="13.8" hidden="false" customHeight="false" outlineLevel="0" collapsed="false">
      <c r="F315" s="22" t="n">
        <v>13</v>
      </c>
      <c r="G315" s="24" t="n">
        <v>4475</v>
      </c>
      <c r="H315" s="24" t="n">
        <f aca="false">(G315-G314)/(F315-F314)</f>
        <v>288</v>
      </c>
      <c r="P315" s="34"/>
    </row>
    <row r="316" customFormat="false" ht="13.8" hidden="false" customHeight="false" outlineLevel="0" collapsed="false">
      <c r="F316" s="22" t="n">
        <v>14</v>
      </c>
      <c r="G316" s="24" t="n">
        <v>4765</v>
      </c>
      <c r="H316" s="24" t="n">
        <f aca="false">(G316-G315)/(F316-F315)</f>
        <v>290</v>
      </c>
      <c r="P316" s="34"/>
    </row>
    <row r="317" customFormat="false" ht="13.8" hidden="false" customHeight="false" outlineLevel="0" collapsed="false">
      <c r="F317" s="22" t="n">
        <v>15</v>
      </c>
      <c r="G317" s="24" t="n">
        <v>5063</v>
      </c>
      <c r="H317" s="24" t="n">
        <f aca="false">(G317-G316)/(F317-F316)</f>
        <v>298</v>
      </c>
      <c r="P317" s="34"/>
    </row>
    <row r="318" customFormat="false" ht="13.8" hidden="false" customHeight="false" outlineLevel="0" collapsed="false">
      <c r="F318" s="22" t="n">
        <v>16</v>
      </c>
      <c r="G318" s="24" t="n">
        <v>5360</v>
      </c>
      <c r="H318" s="24" t="n">
        <f aca="false">(G318-G317)/(F318-F317)</f>
        <v>297</v>
      </c>
      <c r="P318" s="34"/>
    </row>
    <row r="319" customFormat="false" ht="13.8" hidden="false" customHeight="false" outlineLevel="0" collapsed="false">
      <c r="D319" s="23" t="n">
        <v>2.5</v>
      </c>
      <c r="E319" s="22" t="n">
        <v>97.9</v>
      </c>
      <c r="F319" s="22" t="n">
        <v>17</v>
      </c>
      <c r="G319" s="24" t="n">
        <v>5618</v>
      </c>
      <c r="H319" s="24" t="n">
        <f aca="false">(G319-G318)/(F319-F318)</f>
        <v>258</v>
      </c>
      <c r="K319" s="24" t="n">
        <v>979</v>
      </c>
      <c r="L319" s="31" t="n">
        <f aca="false">H319*0.000000001/60</f>
        <v>4.3E-009</v>
      </c>
      <c r="M319" s="35" t="n">
        <f aca="false">L319*(1+LN(D319/0.076))/(2*PI()*D319*E319)</f>
        <v>1.25641330591551E-011</v>
      </c>
      <c r="P319" s="34"/>
    </row>
    <row r="320" customFormat="false" ht="13.8" hidden="false" customHeight="false" outlineLevel="0" collapsed="false">
      <c r="D320" s="23" t="n">
        <v>2.5</v>
      </c>
      <c r="E320" s="22" t="n">
        <v>97.9</v>
      </c>
      <c r="F320" s="22" t="n">
        <v>18</v>
      </c>
      <c r="G320" s="24" t="n">
        <v>5893</v>
      </c>
      <c r="H320" s="24" t="n">
        <f aca="false">(G320-G319)/(F320-F319)</f>
        <v>275</v>
      </c>
      <c r="K320" s="24" t="n">
        <v>979</v>
      </c>
      <c r="L320" s="31" t="n">
        <f aca="false">H320*0.000000001/60</f>
        <v>4.58333333333333E-009</v>
      </c>
      <c r="M320" s="35" t="n">
        <f aca="false">L320*(1+LN(D320/0.076))/(2*PI()*D320*E320)</f>
        <v>1.33920022917351E-011</v>
      </c>
      <c r="N320" s="36" t="n">
        <f aca="false">AVERAGE(M319:M320)</f>
        <v>1.29780676754451E-011</v>
      </c>
      <c r="O320" s="22" t="n">
        <f aca="false">(MAX(L319:L320) - MIN(L319:L320))  / 3</f>
        <v>9.44444444444434E-011</v>
      </c>
      <c r="P320" s="34" t="n">
        <f aca="false">IF(Q320&lt;&gt;0, Q320, $R$4)</f>
        <v>0.0253384766659097</v>
      </c>
    </row>
    <row r="321" customFormat="false" ht="13.8" hidden="false" customHeight="false" outlineLevel="0" collapsed="false">
      <c r="A321" s="1" t="s">
        <v>19</v>
      </c>
      <c r="B321" s="1" t="n">
        <v>0</v>
      </c>
      <c r="C321" s="1" t="s">
        <v>78</v>
      </c>
      <c r="D321" s="23" t="n">
        <f aca="false">9.5-8</f>
        <v>1.5</v>
      </c>
      <c r="E321" s="22" t="n">
        <v>100</v>
      </c>
      <c r="F321" s="22" t="n">
        <v>0</v>
      </c>
      <c r="G321" s="24" t="n">
        <v>0</v>
      </c>
      <c r="J321" s="25" t="n">
        <v>45755.4451388889</v>
      </c>
      <c r="L321" s="31"/>
      <c r="M321" s="35"/>
    </row>
    <row r="322" customFormat="false" ht="13.8" hidden="false" customHeight="false" outlineLevel="0" collapsed="false">
      <c r="F322" s="22" t="n">
        <v>1</v>
      </c>
      <c r="G322" s="24" t="n">
        <v>262</v>
      </c>
      <c r="H322" s="24" t="n">
        <f aca="false">(G322-G321)/(F322-F321)</f>
        <v>262</v>
      </c>
    </row>
    <row r="323" customFormat="false" ht="13.8" hidden="false" customHeight="false" outlineLevel="0" collapsed="false">
      <c r="F323" s="22" t="n">
        <v>2</v>
      </c>
      <c r="G323" s="24" t="n">
        <v>482</v>
      </c>
      <c r="H323" s="24" t="n">
        <f aca="false">(G323-G322)/(F323-F322)</f>
        <v>220</v>
      </c>
    </row>
    <row r="324" customFormat="false" ht="13.8" hidden="false" customHeight="false" outlineLevel="0" collapsed="false">
      <c r="F324" s="22" t="n">
        <v>3</v>
      </c>
      <c r="G324" s="24" t="n">
        <v>695</v>
      </c>
      <c r="H324" s="24" t="n">
        <f aca="false">(G324-G323)/(F324-F323)</f>
        <v>213</v>
      </c>
    </row>
    <row r="325" customFormat="false" ht="13.8" hidden="false" customHeight="false" outlineLevel="0" collapsed="false">
      <c r="F325" s="22" t="n">
        <v>4</v>
      </c>
      <c r="G325" s="24" t="n">
        <v>883</v>
      </c>
      <c r="H325" s="24" t="n">
        <f aca="false">(G325-G324)/(F325-F324)</f>
        <v>188</v>
      </c>
    </row>
    <row r="326" customFormat="false" ht="13.8" hidden="false" customHeight="false" outlineLevel="0" collapsed="false">
      <c r="F326" s="22" t="n">
        <v>5</v>
      </c>
      <c r="G326" s="24" t="n">
        <v>1063</v>
      </c>
      <c r="H326" s="24" t="n">
        <f aca="false">(G326-G325)/(F326-F325)</f>
        <v>180</v>
      </c>
    </row>
    <row r="327" customFormat="false" ht="13.8" hidden="false" customHeight="false" outlineLevel="0" collapsed="false">
      <c r="F327" s="22" t="n">
        <v>6</v>
      </c>
      <c r="G327" s="24" t="n">
        <v>1239</v>
      </c>
      <c r="H327" s="24" t="n">
        <f aca="false">(G327-G326)/(F327-F326)</f>
        <v>176</v>
      </c>
    </row>
    <row r="328" customFormat="false" ht="13.8" hidden="false" customHeight="false" outlineLevel="0" collapsed="false">
      <c r="F328" s="22" t="n">
        <v>7</v>
      </c>
      <c r="G328" s="24" t="n">
        <v>1405</v>
      </c>
      <c r="H328" s="24" t="n">
        <f aca="false">(G328-G327)/(F328-F327)</f>
        <v>166</v>
      </c>
    </row>
    <row r="329" customFormat="false" ht="13.8" hidden="false" customHeight="false" outlineLevel="0" collapsed="false">
      <c r="F329" s="22" t="n">
        <v>9</v>
      </c>
      <c r="G329" s="24" t="n">
        <v>1717</v>
      </c>
      <c r="H329" s="24" t="n">
        <f aca="false">(G329-G328)/(F329-F328)</f>
        <v>156</v>
      </c>
    </row>
    <row r="330" customFormat="false" ht="13.8" hidden="false" customHeight="false" outlineLevel="0" collapsed="false">
      <c r="F330" s="22" t="n">
        <v>10</v>
      </c>
      <c r="G330" s="24" t="n">
        <v>1858</v>
      </c>
      <c r="H330" s="24" t="n">
        <f aca="false">(G330-G329)/(F330-F329)</f>
        <v>141</v>
      </c>
    </row>
    <row r="331" customFormat="false" ht="13.8" hidden="false" customHeight="false" outlineLevel="0" collapsed="false">
      <c r="F331" s="22" t="n">
        <v>11</v>
      </c>
      <c r="G331" s="24" t="n">
        <v>2020</v>
      </c>
      <c r="H331" s="24" t="n">
        <f aca="false">(G331-G330)/(F331-F330)</f>
        <v>162</v>
      </c>
    </row>
    <row r="332" customFormat="false" ht="13.8" hidden="false" customHeight="false" outlineLevel="0" collapsed="false">
      <c r="F332" s="22" t="n">
        <v>12</v>
      </c>
      <c r="G332" s="24" t="n">
        <v>2173</v>
      </c>
      <c r="H332" s="24" t="n">
        <f aca="false">(G332-G331)/(F332-F331)</f>
        <v>153</v>
      </c>
    </row>
    <row r="333" customFormat="false" ht="13.8" hidden="false" customHeight="false" outlineLevel="0" collapsed="false">
      <c r="F333" s="22" t="n">
        <v>13</v>
      </c>
      <c r="G333" s="24" t="n">
        <v>2310</v>
      </c>
      <c r="H333" s="24" t="n">
        <f aca="false">(G333-G332)/(F333-F332)</f>
        <v>137</v>
      </c>
    </row>
    <row r="334" customFormat="false" ht="13.8" hidden="false" customHeight="false" outlineLevel="0" collapsed="false">
      <c r="F334" s="22" t="n">
        <v>14</v>
      </c>
      <c r="G334" s="24" t="n">
        <v>2453</v>
      </c>
      <c r="H334" s="24" t="n">
        <f aca="false">(G334-G333)/(F334-F333)</f>
        <v>143</v>
      </c>
    </row>
    <row r="335" customFormat="false" ht="13.8" hidden="false" customHeight="false" outlineLevel="0" collapsed="false">
      <c r="F335" s="22" t="n">
        <v>15</v>
      </c>
      <c r="G335" s="24" t="n">
        <v>2590</v>
      </c>
      <c r="H335" s="24" t="n">
        <f aca="false">(G335-G334)/(F335-F334)</f>
        <v>137</v>
      </c>
    </row>
    <row r="336" customFormat="false" ht="13.8" hidden="false" customHeight="false" outlineLevel="0" collapsed="false">
      <c r="F336" s="22" t="n">
        <v>16</v>
      </c>
      <c r="G336" s="24" t="n">
        <v>2730</v>
      </c>
      <c r="H336" s="24" t="n">
        <f aca="false">(G336-G335)/(F336-F335)</f>
        <v>140</v>
      </c>
    </row>
    <row r="337" customFormat="false" ht="13.8" hidden="false" customHeight="false" outlineLevel="0" collapsed="false">
      <c r="D337" s="23" t="n">
        <v>1.5</v>
      </c>
      <c r="E337" s="22" t="n">
        <v>99.4</v>
      </c>
      <c r="F337" s="22" t="n">
        <v>18</v>
      </c>
      <c r="G337" s="24" t="n">
        <v>2993</v>
      </c>
      <c r="H337" s="24" t="n">
        <f aca="false">(G337-G336)/(F337-F336)</f>
        <v>131.5</v>
      </c>
      <c r="K337" s="24" t="n">
        <v>994</v>
      </c>
      <c r="L337" s="31" t="n">
        <f aca="false">H337*0.000000001/60</f>
        <v>2.19166666666667E-009</v>
      </c>
      <c r="M337" s="35" t="n">
        <f aca="false">L337*(1+LN(D337/0.076))/(2*PI()*D337*E337)</f>
        <v>9.31689846386385E-012</v>
      </c>
    </row>
    <row r="338" customFormat="false" ht="13.8" hidden="false" customHeight="false" outlineLevel="0" collapsed="false">
      <c r="D338" s="23" t="n">
        <v>1.5</v>
      </c>
      <c r="E338" s="22" t="n">
        <v>99.4</v>
      </c>
      <c r="F338" s="22" t="n">
        <v>20</v>
      </c>
      <c r="G338" s="24" t="n">
        <v>3223</v>
      </c>
      <c r="H338" s="24" t="n">
        <f aca="false">(G338-G337)/(F338-F337)</f>
        <v>115</v>
      </c>
      <c r="K338" s="24" t="n">
        <v>994</v>
      </c>
      <c r="L338" s="31" t="n">
        <f aca="false">H338*0.000000001/60</f>
        <v>1.91666666666667E-009</v>
      </c>
      <c r="M338" s="35" t="n">
        <f aca="false">L338*(1+LN(D338/0.076))/(2*PI()*D338*E338)</f>
        <v>8.14785797220032E-012</v>
      </c>
      <c r="N338" s="36" t="n">
        <f aca="false">AVERAGE(M337:M338)</f>
        <v>8.73237821803208E-012</v>
      </c>
      <c r="O338" s="22" t="n">
        <f aca="false">(MAX(L337:L338) - MIN(L337:L338))  / 3</f>
        <v>9.16666666666667E-011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9.12109375" defaultRowHeight="15" zeroHeight="false" outlineLevelRow="0" outlineLevelCol="0"/>
  <cols>
    <col collapsed="false" customWidth="false" hidden="false" outlineLevel="0" max="1" min="1" style="22" width="9.14"/>
    <col collapsed="false" customWidth="true" hidden="false" outlineLevel="0" max="2" min="2" style="22" width="9.56"/>
    <col collapsed="false" customWidth="true" hidden="false" outlineLevel="0" max="3" min="3" style="44" width="11.15"/>
    <col collapsed="false" customWidth="true" hidden="false" outlineLevel="0" max="4" min="4" style="44" width="10.3"/>
    <col collapsed="false" customWidth="false" hidden="false" outlineLevel="0" max="7" min="5" style="44" width="9.14"/>
    <col collapsed="false" customWidth="true" hidden="false" outlineLevel="0" max="8" min="8" style="44" width="12.14"/>
    <col collapsed="false" customWidth="false" hidden="false" outlineLevel="0" max="1024" min="9" style="44" width="9.14"/>
  </cols>
  <sheetData>
    <row r="1" customFormat="false" ht="46.25" hidden="false" customHeight="false" outlineLevel="0" collapsed="false">
      <c r="A1" s="26" t="s">
        <v>0</v>
      </c>
      <c r="B1" s="26" t="s">
        <v>1</v>
      </c>
      <c r="C1" s="26" t="s">
        <v>7</v>
      </c>
      <c r="D1" s="26" t="s">
        <v>7</v>
      </c>
      <c r="E1" s="45" t="s">
        <v>0</v>
      </c>
      <c r="F1" s="45" t="s">
        <v>1</v>
      </c>
      <c r="G1" s="45" t="s">
        <v>2</v>
      </c>
      <c r="H1" s="45" t="s">
        <v>7</v>
      </c>
    </row>
    <row r="2" customFormat="false" ht="15" hidden="false" customHeight="false" outlineLevel="0" collapsed="false">
      <c r="A2" s="22" t="s">
        <v>9</v>
      </c>
      <c r="B2" s="22" t="s">
        <v>54</v>
      </c>
      <c r="C2" s="46" t="n">
        <v>1.77090062326597E-007</v>
      </c>
      <c r="D2" s="44" t="s">
        <v>79</v>
      </c>
      <c r="E2" s="44" t="s">
        <v>9</v>
      </c>
      <c r="F2" s="44" t="s">
        <v>10</v>
      </c>
      <c r="G2" s="47" t="n">
        <v>10.2</v>
      </c>
      <c r="H2" s="46" t="n">
        <v>1.52195172189226E-010</v>
      </c>
    </row>
    <row r="3" customFormat="false" ht="15" hidden="false" customHeight="false" outlineLevel="0" collapsed="false">
      <c r="A3" s="22" t="s">
        <v>9</v>
      </c>
      <c r="B3" s="22" t="s">
        <v>56</v>
      </c>
      <c r="C3" s="46" t="n">
        <v>5.87861013052737E-010</v>
      </c>
    </row>
    <row r="4" customFormat="false" ht="15" hidden="false" customHeight="false" outlineLevel="0" collapsed="false">
      <c r="A4" s="41" t="s">
        <v>9</v>
      </c>
      <c r="B4" s="41" t="s">
        <v>57</v>
      </c>
      <c r="C4" s="48" t="n">
        <v>8.23468777015421E-011</v>
      </c>
      <c r="D4" s="49"/>
      <c r="E4" s="49"/>
      <c r="F4" s="49"/>
      <c r="G4" s="49"/>
      <c r="H4" s="49"/>
    </row>
    <row r="5" customFormat="false" ht="15" hidden="false" customHeight="false" outlineLevel="0" collapsed="false">
      <c r="A5" s="22" t="s">
        <v>11</v>
      </c>
      <c r="B5" s="22" t="s">
        <v>58</v>
      </c>
      <c r="C5" s="46" t="n">
        <v>3.02217915224261E-011</v>
      </c>
      <c r="E5" s="44" t="s">
        <v>11</v>
      </c>
      <c r="F5" s="44" t="s">
        <v>12</v>
      </c>
      <c r="G5" s="47" t="n">
        <v>6.64</v>
      </c>
      <c r="H5" s="46" t="n">
        <v>6.15732546397696E-010</v>
      </c>
    </row>
    <row r="6" customFormat="false" ht="15" hidden="false" customHeight="false" outlineLevel="0" collapsed="false">
      <c r="A6" s="22" t="s">
        <v>11</v>
      </c>
      <c r="B6" s="22" t="s">
        <v>59</v>
      </c>
      <c r="C6" s="46" t="n">
        <v>8.26019180880402E-010</v>
      </c>
    </row>
    <row r="7" customFormat="false" ht="15" hidden="false" customHeight="false" outlineLevel="0" collapsed="false">
      <c r="A7" s="41" t="s">
        <v>11</v>
      </c>
      <c r="B7" s="41" t="s">
        <v>60</v>
      </c>
      <c r="C7" s="48" t="n">
        <v>5.56091306602672E-010</v>
      </c>
      <c r="D7" s="49"/>
      <c r="E7" s="49"/>
      <c r="F7" s="49"/>
      <c r="G7" s="49"/>
      <c r="H7" s="49"/>
    </row>
    <row r="8" customFormat="false" ht="15" hidden="false" customHeight="false" outlineLevel="0" collapsed="false">
      <c r="A8" s="22" t="s">
        <v>14</v>
      </c>
      <c r="B8" s="22" t="s">
        <v>63</v>
      </c>
      <c r="C8" s="46" t="n">
        <v>6.71067555767968E-012</v>
      </c>
      <c r="E8" s="44" t="s">
        <v>14</v>
      </c>
      <c r="F8" s="44" t="s">
        <v>15</v>
      </c>
      <c r="G8" s="47" t="n">
        <v>8</v>
      </c>
      <c r="H8" s="46" t="n">
        <v>1.82930614842691E-010</v>
      </c>
    </row>
    <row r="9" customFormat="false" ht="15" hidden="false" customHeight="false" outlineLevel="0" collapsed="false">
      <c r="A9" s="22" t="s">
        <v>14</v>
      </c>
      <c r="B9" s="22" t="s">
        <v>64</v>
      </c>
      <c r="C9" s="46" t="n">
        <v>1.96648878231458E-009</v>
      </c>
    </row>
    <row r="10" customFormat="false" ht="15" hidden="false" customHeight="false" outlineLevel="0" collapsed="false">
      <c r="A10" s="41" t="s">
        <v>14</v>
      </c>
      <c r="B10" s="41" t="s">
        <v>65</v>
      </c>
      <c r="C10" s="48" t="n">
        <v>5.74003871361972E-012</v>
      </c>
      <c r="D10" s="49"/>
      <c r="E10" s="49"/>
      <c r="F10" s="49"/>
      <c r="G10" s="49"/>
      <c r="H10" s="49"/>
    </row>
    <row r="11" customFormat="false" ht="15" hidden="false" customHeight="false" outlineLevel="0" collapsed="false">
      <c r="A11" s="22" t="s">
        <v>17</v>
      </c>
      <c r="B11" s="22" t="s">
        <v>66</v>
      </c>
      <c r="C11" s="46" t="n">
        <v>1.82894876204416E-012</v>
      </c>
      <c r="E11" s="44" t="s">
        <v>17</v>
      </c>
      <c r="F11" s="44" t="s">
        <v>18</v>
      </c>
      <c r="G11" s="47" t="n">
        <v>9.5</v>
      </c>
      <c r="H11" s="46" t="n">
        <v>7.83460015453637E-011</v>
      </c>
    </row>
    <row r="12" customFormat="false" ht="15" hidden="false" customHeight="false" outlineLevel="0" collapsed="false">
      <c r="A12" s="22" t="s">
        <v>17</v>
      </c>
      <c r="B12" s="22" t="s">
        <v>67</v>
      </c>
      <c r="C12" s="46" t="n">
        <v>4.49632982163615E-011</v>
      </c>
    </row>
    <row r="13" customFormat="false" ht="15" hidden="false" customHeight="false" outlineLevel="0" collapsed="false">
      <c r="A13" s="41" t="s">
        <v>17</v>
      </c>
      <c r="B13" s="41" t="s">
        <v>68</v>
      </c>
      <c r="C13" s="48" t="n">
        <v>4.49199312659113E-012</v>
      </c>
      <c r="D13" s="49"/>
      <c r="E13" s="49"/>
      <c r="F13" s="49"/>
      <c r="G13" s="49"/>
      <c r="H13" s="49"/>
    </row>
    <row r="14" customFormat="false" ht="15" hidden="false" customHeight="false" outlineLevel="0" collapsed="false">
      <c r="A14" s="22" t="s">
        <v>26</v>
      </c>
      <c r="B14" s="22" t="s">
        <v>69</v>
      </c>
      <c r="C14" s="46" t="n">
        <v>1.14023971512597E-011</v>
      </c>
      <c r="D14" s="46" t="n">
        <v>8.19224492191548E-012</v>
      </c>
      <c r="E14" s="44" t="s">
        <v>26</v>
      </c>
      <c r="F14" s="44" t="s">
        <v>25</v>
      </c>
      <c r="G14" s="47" t="n">
        <v>9</v>
      </c>
      <c r="H14" s="46" t="n">
        <v>4.96553889044316E-011</v>
      </c>
    </row>
    <row r="15" customFormat="false" ht="15" hidden="false" customHeight="false" outlineLevel="0" collapsed="false">
      <c r="A15" s="22" t="s">
        <v>26</v>
      </c>
      <c r="B15" s="22" t="s">
        <v>70</v>
      </c>
      <c r="C15" s="46" t="n">
        <v>1.90624092559308E-011</v>
      </c>
      <c r="D15" s="46" t="n">
        <v>1.22917395212627E-011</v>
      </c>
    </row>
    <row r="16" customFormat="false" ht="15" hidden="false" customHeight="false" outlineLevel="0" collapsed="false">
      <c r="A16" s="41" t="s">
        <v>26</v>
      </c>
      <c r="B16" s="41" t="s">
        <v>57</v>
      </c>
      <c r="C16" s="48" t="n">
        <v>5.34720017984488E-012</v>
      </c>
      <c r="D16" s="48" t="n">
        <v>4.05330646768934E-012</v>
      </c>
      <c r="E16" s="49"/>
      <c r="F16" s="49"/>
      <c r="G16" s="49"/>
      <c r="H16" s="49"/>
    </row>
    <row r="17" customFormat="false" ht="15" hidden="false" customHeight="false" outlineLevel="0" collapsed="false">
      <c r="A17" s="22" t="s">
        <v>21</v>
      </c>
      <c r="B17" s="22" t="s">
        <v>71</v>
      </c>
      <c r="C17" s="46" t="n">
        <v>1.26745324779191E-011</v>
      </c>
      <c r="E17" s="44" t="s">
        <v>21</v>
      </c>
      <c r="F17" s="44" t="s">
        <v>22</v>
      </c>
      <c r="G17" s="47" t="n">
        <v>9</v>
      </c>
      <c r="H17" s="44" t="s">
        <v>23</v>
      </c>
    </row>
    <row r="18" customFormat="false" ht="15" hidden="false" customHeight="false" outlineLevel="0" collapsed="false">
      <c r="A18" s="22" t="s">
        <v>21</v>
      </c>
      <c r="B18" s="22" t="s">
        <v>64</v>
      </c>
      <c r="C18" s="46" t="n">
        <v>1.19261643180535E-011</v>
      </c>
    </row>
    <row r="19" customFormat="false" ht="15" hidden="false" customHeight="false" outlineLevel="0" collapsed="false">
      <c r="A19" s="41" t="s">
        <v>21</v>
      </c>
      <c r="B19" s="41" t="s">
        <v>65</v>
      </c>
      <c r="C19" s="48" t="n">
        <v>6.21167969990384E-011</v>
      </c>
      <c r="D19" s="49"/>
      <c r="E19" s="49"/>
      <c r="F19" s="49"/>
      <c r="G19" s="49"/>
      <c r="H19" s="49"/>
    </row>
    <row r="20" customFormat="false" ht="15" hidden="false" customHeight="false" outlineLevel="0" collapsed="false">
      <c r="A20" s="22" t="s">
        <v>24</v>
      </c>
      <c r="B20" s="22" t="s">
        <v>72</v>
      </c>
      <c r="C20" s="46" t="n">
        <v>4.20204412063605E-010</v>
      </c>
      <c r="E20" s="44" t="s">
        <v>24</v>
      </c>
      <c r="F20" s="44" t="s">
        <v>25</v>
      </c>
      <c r="G20" s="47" t="n">
        <v>9</v>
      </c>
      <c r="H20" s="46" t="n">
        <v>3.90149484249105E-011</v>
      </c>
    </row>
    <row r="21" customFormat="false" ht="15" hidden="false" customHeight="false" outlineLevel="0" collapsed="false">
      <c r="A21" s="22" t="s">
        <v>24</v>
      </c>
      <c r="B21" s="22" t="s">
        <v>56</v>
      </c>
      <c r="C21" s="46" t="n">
        <v>5.3324371193044E-010</v>
      </c>
    </row>
    <row r="22" customFormat="false" ht="15" hidden="false" customHeight="false" outlineLevel="0" collapsed="false">
      <c r="A22" s="41" t="s">
        <v>24</v>
      </c>
      <c r="B22" s="41" t="s">
        <v>57</v>
      </c>
      <c r="C22" s="48" t="n">
        <v>1.01731871954539E-010</v>
      </c>
      <c r="D22" s="49"/>
      <c r="E22" s="49"/>
      <c r="F22" s="49"/>
      <c r="G22" s="49"/>
      <c r="H22" s="49"/>
    </row>
    <row r="23" customFormat="false" ht="15" hidden="false" customHeight="false" outlineLevel="0" collapsed="false">
      <c r="A23" s="22" t="s">
        <v>19</v>
      </c>
      <c r="B23" s="22" t="s">
        <v>74</v>
      </c>
      <c r="C23" s="46" t="n">
        <v>4.92857018271996E-013</v>
      </c>
      <c r="E23" s="44" t="s">
        <v>19</v>
      </c>
      <c r="F23" s="44" t="s">
        <v>20</v>
      </c>
      <c r="G23" s="47" t="n">
        <v>9</v>
      </c>
      <c r="H23" s="46" t="n">
        <v>9.36358762197852E-011</v>
      </c>
    </row>
    <row r="24" customFormat="false" ht="15" hidden="false" customHeight="false" outlineLevel="0" collapsed="false">
      <c r="A24" s="22" t="s">
        <v>19</v>
      </c>
      <c r="B24" s="22" t="s">
        <v>76</v>
      </c>
      <c r="C24" s="46" t="n">
        <v>1.29780676754451E-011</v>
      </c>
    </row>
    <row r="25" customFormat="false" ht="15" hidden="false" customHeight="false" outlineLevel="0" collapsed="false">
      <c r="A25" s="41" t="s">
        <v>19</v>
      </c>
      <c r="B25" s="41" t="s">
        <v>78</v>
      </c>
      <c r="C25" s="48" t="n">
        <v>8.73237821803208E-012</v>
      </c>
      <c r="D25" s="49"/>
      <c r="E25" s="49"/>
      <c r="F25" s="49"/>
      <c r="G25" s="49"/>
      <c r="H25" s="49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38328f-7f83-463c-8f5b-8faa75e57ef5">
      <Terms xmlns="http://schemas.microsoft.com/office/infopath/2007/PartnerControls"/>
    </lcf76f155ced4ddcb4097134ff3c332f>
    <TaxCatchAll xmlns="dfa7048f-e634-4e05-b21e-550315c566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AD0BBB4EE106140A9DAE8AB98A22896" ma:contentTypeVersion="17" ma:contentTypeDescription="Vytvoří nový dokument" ma:contentTypeScope="" ma:versionID="9981d0dc05ac2334554cbcecc07889bd">
  <xsd:schema xmlns:xsd="http://www.w3.org/2001/XMLSchema" xmlns:xs="http://www.w3.org/2001/XMLSchema" xmlns:p="http://schemas.microsoft.com/office/2006/metadata/properties" xmlns:ns2="5138328f-7f83-463c-8f5b-8faa75e57ef5" xmlns:ns3="dfa7048f-e634-4e05-b21e-550315c56630" targetNamespace="http://schemas.microsoft.com/office/2006/metadata/properties" ma:root="true" ma:fieldsID="042ec565da7f6265de4f4dce29c57d1e" ns2:_="" ns3:_="">
    <xsd:import namespace="5138328f-7f83-463c-8f5b-8faa75e57ef5"/>
    <xsd:import namespace="dfa7048f-e634-4e05-b21e-550315c566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38328f-7f83-463c-8f5b-8faa75e57e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Značky obrázků" ma:readOnly="false" ma:fieldId="{5cf76f15-5ced-4ddc-b409-7134ff3c332f}" ma:taxonomyMulti="true" ma:sspId="12676c47-eb11-4139-b5ed-f835b2feba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7048f-e634-4e05-b21e-550315c5663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98f7392-304f-473b-872f-c6bbd14bdf48}" ma:internalName="TaxCatchAll" ma:showField="CatchAllData" ma:web="dfa7048f-e634-4e05-b21e-550315c566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09F920-3425-4A9F-B053-65B8C6D3AC05}"/>
</file>

<file path=customXml/itemProps2.xml><?xml version="1.0" encoding="utf-8"?>
<ds:datastoreItem xmlns:ds="http://schemas.openxmlformats.org/officeDocument/2006/customXml" ds:itemID="{D7A1BAC5-D0D7-4428-AC39-0097D451AE8F}"/>
</file>

<file path=customXml/itemProps3.xml><?xml version="1.0" encoding="utf-8"?>
<ds:datastoreItem xmlns:ds="http://schemas.openxmlformats.org/officeDocument/2006/customXml" ds:itemID="{BE29DB0F-D8C9-4A5D-89E0-536DEEC95C0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2504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2024-04-09T11:55:03Z</dcterms:created>
  <dc:creator>Sosna Karel</dc:creator>
  <dc:description/>
  <dc:language>en-US</dc:language>
  <cp:lastModifiedBy/>
  <dcterms:modified xsi:type="dcterms:W3CDTF">2025-08-01T08:15:47Z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0x010100EAD0BBB4EE106140A9DAE8AB98A22896</vt:lpwstr>
  </property>
  <property fmtid="{D5CDD505-2E9C-101B-9397-08002B2CF9AE}" pid="3" name="MediaServiceImageTags">
    <vt:lpwstr/>
  </property>
</Properties>
</file>